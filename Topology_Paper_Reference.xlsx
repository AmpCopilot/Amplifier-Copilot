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1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66f8fe7901e6aab/工作记录/流程标准化/Amp_complier_Result/ZHCSQL/Copilot_Github_Ver/"/>
    </mc:Choice>
  </mc:AlternateContent>
  <xr:revisionPtr revIDLastSave="222" documentId="8_{03233C57-856A-4C51-9E32-8F9474105058}" xr6:coauthVersionLast="47" xr6:coauthVersionMax="47" xr10:uidLastSave="{16544966-03EE-4678-9972-A816BFA3F5F1}"/>
  <bookViews>
    <workbookView xWindow="1520" yWindow="1520" windowWidth="28800" windowHeight="15370" xr2:uid="{00000000-000D-0000-FFFF-FFFF00000000}"/>
  </bookViews>
  <sheets>
    <sheet name="Overview" sheetId="1" r:id="rId1"/>
    <sheet name="Benchmark" sheetId="2" r:id="rId2"/>
  </sheets>
  <definedNames>
    <definedName name="_xlchart.v1.0" hidden="1">Overview!$P$3:$P$101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26" i="1" l="1"/>
  <c r="AC27" i="1"/>
  <c r="AE27" i="1" s="1"/>
  <c r="AB27" i="1"/>
  <c r="AD27" i="1" s="1"/>
  <c r="Z27" i="1"/>
  <c r="T19" i="1" l="1"/>
  <c r="AA19" i="1" s="1"/>
  <c r="U11" i="1"/>
  <c r="T11" i="1"/>
  <c r="AC11" i="1" s="1"/>
  <c r="AB11" i="1"/>
  <c r="AD11" i="1" s="1"/>
  <c r="Z11" i="1"/>
  <c r="T12" i="1"/>
  <c r="AA12" i="1" s="1"/>
  <c r="U12" i="1"/>
  <c r="Z12" i="1"/>
  <c r="AB12" i="1"/>
  <c r="Z33" i="1"/>
  <c r="AA33" i="1"/>
  <c r="AB33" i="1"/>
  <c r="AD33" i="1" s="1"/>
  <c r="AC33" i="1"/>
  <c r="AE33" i="1" s="1"/>
  <c r="V35" i="1"/>
  <c r="AA35" i="1" s="1"/>
  <c r="V34" i="1"/>
  <c r="AC34" i="1" s="1"/>
  <c r="AE34" i="1" s="1"/>
  <c r="Z34" i="1"/>
  <c r="V36" i="1"/>
  <c r="Z36" i="1" s="1"/>
  <c r="Z32" i="1"/>
  <c r="AA32" i="1"/>
  <c r="AB32" i="1"/>
  <c r="AD32" i="1" s="1"/>
  <c r="AC32" i="1"/>
  <c r="AE32" i="1" s="1"/>
  <c r="Z28" i="1"/>
  <c r="AA28" i="1"/>
  <c r="AB28" i="1"/>
  <c r="AD28" i="1" s="1"/>
  <c r="AC28" i="1"/>
  <c r="AE28" i="1" s="1"/>
  <c r="Z31" i="1"/>
  <c r="AA31" i="1"/>
  <c r="AB31" i="1"/>
  <c r="AD31" i="1" s="1"/>
  <c r="AC31" i="1"/>
  <c r="AE31" i="1" s="1"/>
  <c r="Z30" i="1"/>
  <c r="AA30" i="1"/>
  <c r="AB30" i="1"/>
  <c r="AD30" i="1" s="1"/>
  <c r="AC30" i="1"/>
  <c r="AE30" i="1" s="1"/>
  <c r="Z29" i="1"/>
  <c r="AA29" i="1"/>
  <c r="AB29" i="1"/>
  <c r="AC29" i="1"/>
  <c r="AE29" i="1" s="1"/>
  <c r="AA27" i="1"/>
  <c r="Z26" i="1"/>
  <c r="AA26" i="1"/>
  <c r="AB26" i="1"/>
  <c r="AD26" i="1" s="1"/>
  <c r="AC26" i="1"/>
  <c r="AE26" i="1" s="1"/>
  <c r="Z25" i="1"/>
  <c r="AA25" i="1"/>
  <c r="AB25" i="1"/>
  <c r="AD25" i="1" s="1"/>
  <c r="AC25" i="1"/>
  <c r="AE25" i="1" s="1"/>
  <c r="Z24" i="1"/>
  <c r="AA24" i="1"/>
  <c r="AB24" i="1"/>
  <c r="AC24" i="1"/>
  <c r="Z22" i="1"/>
  <c r="AA22" i="1"/>
  <c r="AB22" i="1"/>
  <c r="AC22" i="1"/>
  <c r="Z20" i="1"/>
  <c r="AA20" i="1"/>
  <c r="AB20" i="1"/>
  <c r="AC20" i="1"/>
  <c r="AB23" i="1"/>
  <c r="AC23" i="1"/>
  <c r="L23" i="1"/>
  <c r="Z23" i="1" s="1"/>
  <c r="Z19" i="1"/>
  <c r="AB19" i="1"/>
  <c r="AD19" i="1" s="1"/>
  <c r="Z21" i="1"/>
  <c r="AA21" i="1"/>
  <c r="AB21" i="1"/>
  <c r="AD21" i="1" s="1"/>
  <c r="AC21" i="1"/>
  <c r="AE21" i="1" s="1"/>
  <c r="U21" i="1"/>
  <c r="Z16" i="1"/>
  <c r="AA16" i="1"/>
  <c r="AB16" i="1"/>
  <c r="AC16" i="1"/>
  <c r="U16" i="1"/>
  <c r="Z18" i="1"/>
  <c r="AA18" i="1"/>
  <c r="AB18" i="1"/>
  <c r="AD18" i="1" s="1"/>
  <c r="AC18" i="1"/>
  <c r="AE18" i="1" s="1"/>
  <c r="U18" i="1"/>
  <c r="U3" i="1"/>
  <c r="T9" i="1"/>
  <c r="AC9" i="1" s="1"/>
  <c r="AE9" i="1" s="1"/>
  <c r="Z15" i="1"/>
  <c r="AA15" i="1"/>
  <c r="AB15" i="1"/>
  <c r="AD15" i="1" s="1"/>
  <c r="AC15" i="1"/>
  <c r="AE15" i="1" s="1"/>
  <c r="U15" i="1"/>
  <c r="Z17" i="1"/>
  <c r="AA17" i="1"/>
  <c r="AB17" i="1"/>
  <c r="AC17" i="1"/>
  <c r="Z8" i="1"/>
  <c r="AA8" i="1"/>
  <c r="AB8" i="1"/>
  <c r="AC8" i="1"/>
  <c r="U17" i="1"/>
  <c r="V14" i="1"/>
  <c r="Z14" i="1" s="1"/>
  <c r="V13" i="1"/>
  <c r="Z13" i="1" s="1"/>
  <c r="W6" i="1"/>
  <c r="V6" i="1"/>
  <c r="AC6" i="1" s="1"/>
  <c r="AE6" i="1" s="1"/>
  <c r="N6" i="1"/>
  <c r="V5" i="1"/>
  <c r="N5" i="1"/>
  <c r="Z5" i="1"/>
  <c r="AA5" i="1"/>
  <c r="AB5" i="1"/>
  <c r="AD5" i="1" s="1"/>
  <c r="AC5" i="1"/>
  <c r="AE5" i="1" s="1"/>
  <c r="W5" i="1"/>
  <c r="Z7" i="1"/>
  <c r="AA7" i="1"/>
  <c r="AB7" i="1"/>
  <c r="AD7" i="1" s="1"/>
  <c r="AC7" i="1"/>
  <c r="AE7" i="1" s="1"/>
  <c r="U7" i="1"/>
  <c r="U4" i="1"/>
  <c r="V4" i="1"/>
  <c r="Z4" i="1" s="1"/>
  <c r="Y4" i="1"/>
  <c r="Z3" i="1"/>
  <c r="AA3" i="1"/>
  <c r="AB3" i="1"/>
  <c r="AD3" i="1" s="1"/>
  <c r="AC3" i="1"/>
  <c r="AE3" i="1" s="1"/>
  <c r="AC10" i="1"/>
  <c r="AB10" i="1"/>
  <c r="AD10" i="1" s="1"/>
  <c r="AA10" i="1"/>
  <c r="Z10" i="1"/>
  <c r="Z9" i="1"/>
  <c r="AB9" i="1"/>
  <c r="AD9" i="1" s="1"/>
  <c r="Z35" i="1" l="1"/>
  <c r="AA34" i="1"/>
  <c r="AE17" i="1"/>
  <c r="AD22" i="1"/>
  <c r="AD24" i="1"/>
  <c r="AB34" i="1"/>
  <c r="AD34" i="1" s="1"/>
  <c r="AE11" i="1"/>
  <c r="AA23" i="1"/>
  <c r="AD17" i="1"/>
  <c r="AE22" i="1"/>
  <c r="AD12" i="1"/>
  <c r="AC14" i="1"/>
  <c r="AD23" i="1"/>
  <c r="AE10" i="1"/>
  <c r="AD20" i="1"/>
  <c r="AD29" i="1"/>
  <c r="AE23" i="1"/>
  <c r="AE20" i="1"/>
  <c r="AE24" i="1"/>
  <c r="AE16" i="1"/>
  <c r="AD16" i="1"/>
  <c r="AC12" i="1"/>
  <c r="AB14" i="1"/>
  <c r="AA14" i="1"/>
  <c r="AC19" i="1"/>
  <c r="AE19" i="1" s="1"/>
  <c r="AA11" i="1"/>
  <c r="AC35" i="1"/>
  <c r="AE35" i="1" s="1"/>
  <c r="AB35" i="1"/>
  <c r="AD35" i="1" s="1"/>
  <c r="AC36" i="1"/>
  <c r="AE36" i="1" s="1"/>
  <c r="AB36" i="1"/>
  <c r="AD36" i="1" s="1"/>
  <c r="AA36" i="1"/>
  <c r="AA9" i="1"/>
  <c r="AC13" i="1"/>
  <c r="AE13" i="1" s="1"/>
  <c r="AB13" i="1"/>
  <c r="AD13" i="1" s="1"/>
  <c r="AA13" i="1"/>
  <c r="Z6" i="1"/>
  <c r="AA6" i="1"/>
  <c r="AB6" i="1"/>
  <c r="AD6" i="1" s="1"/>
  <c r="AC4" i="1"/>
  <c r="AE4" i="1" s="1"/>
  <c r="AB4" i="1"/>
  <c r="AD4" i="1" s="1"/>
  <c r="AA4" i="1"/>
  <c r="AE12" i="1" l="1"/>
  <c r="AE14" i="1"/>
  <c r="AD14" i="1"/>
</calcChain>
</file>

<file path=xl/sharedStrings.xml><?xml version="1.0" encoding="utf-8"?>
<sst xmlns="http://schemas.openxmlformats.org/spreadsheetml/2006/main" count="287" uniqueCount="160">
  <si>
    <t>Source</t>
  </si>
  <si>
    <t>Year</t>
  </si>
  <si>
    <t>Month</t>
  </si>
  <si>
    <t>Title</t>
  </si>
  <si>
    <t>Author</t>
  </si>
  <si>
    <t>S</t>
    <phoneticPr fontId="3" type="noConversion"/>
  </si>
  <si>
    <t>Topology</t>
    <phoneticPr fontId="3" type="noConversion"/>
  </si>
  <si>
    <t>Stages</t>
    <phoneticPr fontId="3" type="noConversion"/>
  </si>
  <si>
    <t xml:space="preserve">Affiliation </t>
  </si>
  <si>
    <t>Tech.</t>
    <phoneticPr fontId="3" type="noConversion"/>
  </si>
  <si>
    <t>Supply V</t>
    <phoneticPr fontId="3" type="noConversion"/>
  </si>
  <si>
    <t>Single/Diff</t>
    <phoneticPr fontId="3" type="noConversion"/>
  </si>
  <si>
    <t>Output Swing</t>
    <phoneticPr fontId="3" type="noConversion"/>
  </si>
  <si>
    <t>dc Gain</t>
    <phoneticPr fontId="3" type="noConversion"/>
  </si>
  <si>
    <t>PM</t>
    <phoneticPr fontId="3" type="noConversion"/>
  </si>
  <si>
    <t>Avg. SR(V/us)</t>
    <phoneticPr fontId="3" type="noConversion"/>
  </si>
  <si>
    <t>Avg. 1% Ts(us)</t>
    <phoneticPr fontId="3" type="noConversion"/>
  </si>
  <si>
    <t>Total Cm(pF)</t>
    <phoneticPr fontId="3" type="noConversion"/>
  </si>
  <si>
    <t>Chip Area(mm^2)</t>
    <phoneticPr fontId="3" type="noConversion"/>
  </si>
  <si>
    <t>CMRR</t>
    <phoneticPr fontId="3" type="noConversion"/>
  </si>
  <si>
    <t>PSRR</t>
    <phoneticPr fontId="3" type="noConversion"/>
  </si>
  <si>
    <t>IFOMS(MHz*pF/mA)</t>
    <phoneticPr fontId="3" type="noConversion"/>
  </si>
  <si>
    <t>IFOML(V/us*pF/mA)</t>
    <phoneticPr fontId="3" type="noConversion"/>
  </si>
  <si>
    <t>FOMS(MHz*pF/mW)</t>
    <phoneticPr fontId="3" type="noConversion"/>
  </si>
  <si>
    <t>FOML(V/us*pF/mW)</t>
    <phoneticPr fontId="3" type="noConversion"/>
  </si>
  <si>
    <t>Claimed performance</t>
    <phoneticPr fontId="3" type="noConversion"/>
  </si>
  <si>
    <t>Calc. FOM</t>
    <phoneticPr fontId="3" type="noConversion"/>
  </si>
  <si>
    <t>Paper Info.</t>
    <phoneticPr fontId="3" type="noConversion"/>
  </si>
  <si>
    <t>Topo. Section</t>
    <phoneticPr fontId="3" type="noConversion"/>
  </si>
  <si>
    <t>Analysis of multistage amplifier-frequency compensation</t>
  </si>
  <si>
    <t>TCAS1</t>
    <phoneticPr fontId="3" type="noConversion"/>
  </si>
  <si>
    <t>Ka Nang Leung</t>
  </si>
  <si>
    <t>NMCF</t>
    <phoneticPr fontId="3" type="noConversion"/>
  </si>
  <si>
    <t>NMCNR</t>
    <phoneticPr fontId="3" type="noConversion"/>
  </si>
  <si>
    <t>NMs</t>
    <phoneticPr fontId="3" type="noConversion"/>
  </si>
  <si>
    <t>MRs</t>
    <phoneticPr fontId="3" type="noConversion"/>
  </si>
  <si>
    <t>MSs</t>
    <phoneticPr fontId="3" type="noConversion"/>
  </si>
  <si>
    <t>Load CL(pF)</t>
    <phoneticPr fontId="3" type="noConversion"/>
  </si>
  <si>
    <t>&gt;100</t>
    <phoneticPr fontId="3" type="noConversion"/>
  </si>
  <si>
    <t>DFCFC1</t>
    <phoneticPr fontId="3" type="noConversion"/>
  </si>
  <si>
    <t>Power(mW)</t>
    <phoneticPr fontId="3" type="noConversion"/>
  </si>
  <si>
    <t>GBW(MHz)</t>
    <phoneticPr fontId="3" type="noConversion"/>
  </si>
  <si>
    <t>JSSC/TCAS1</t>
    <phoneticPr fontId="3" type="noConversion"/>
  </si>
  <si>
    <t>12 and 9</t>
    <phoneticPr fontId="3" type="noConversion"/>
  </si>
  <si>
    <t>A 100-MHz 100-dB operational amplifier with multipath nested Miller compensation structure / Analysis of multistage amplifier-frequency compensation</t>
    <phoneticPr fontId="3" type="noConversion"/>
  </si>
  <si>
    <t>R.G.H. Eschauzier/Ka Nang Leung</t>
    <phoneticPr fontId="3" type="noConversion"/>
  </si>
  <si>
    <t>NMC</t>
    <phoneticPr fontId="3" type="noConversion"/>
  </si>
  <si>
    <t>JSSC</t>
    <phoneticPr fontId="3" type="noConversion"/>
  </si>
  <si>
    <t>A 100-MHz 100-dB operational amplifier with multipath nested Miller compensation structure</t>
  </si>
  <si>
    <t>R.G.H. Eschauzier</t>
  </si>
  <si>
    <t>Delft U of Tech</t>
  </si>
  <si>
    <t>MNMC</t>
    <phoneticPr fontId="3" type="noConversion"/>
  </si>
  <si>
    <t>Multistage amplifier topologies with nested G/sub m/-C compensation</t>
  </si>
  <si>
    <t>F. You</t>
  </si>
  <si>
    <t>Texas A&amp;M University</t>
  </si>
  <si>
    <t>NGCC</t>
    <phoneticPr fontId="3" type="noConversion"/>
  </si>
  <si>
    <t>A programmable 1.5 V CMOS class-AB operational amplifier with hybrid nested Miller compensation for 120 dB gain and 6 MHz UGF</t>
  </si>
  <si>
    <t>HNMC</t>
    <phoneticPr fontId="3" type="noConversion"/>
  </si>
  <si>
    <t>MHNMC</t>
    <phoneticPr fontId="3" type="noConversion"/>
  </si>
  <si>
    <t>Nested feed-forward Gm-stage and nulling resistor plus nested-Miller compensation for multistage amplifiers</t>
  </si>
  <si>
    <t>CICC</t>
    <phoneticPr fontId="3" type="noConversion"/>
  </si>
  <si>
    <t>Xiaohong Peng</t>
  </si>
  <si>
    <t>Katholieke Universiteit Leuven, Belgium</t>
  </si>
  <si>
    <t>NGRNMC</t>
    <phoneticPr fontId="3" type="noConversion"/>
  </si>
  <si>
    <t>D</t>
    <phoneticPr fontId="3" type="noConversion"/>
  </si>
  <si>
    <t>J. Ramos</t>
  </si>
  <si>
    <t>PFC</t>
    <phoneticPr fontId="3" type="noConversion"/>
  </si>
  <si>
    <t>Three stage amplifier with positive feedback compensation scheme</t>
  </si>
  <si>
    <t>AC boosting compensation scheme for low-power multistage amplifiers</t>
  </si>
  <si>
    <t>ACBs</t>
    <phoneticPr fontId="3" type="noConversion"/>
  </si>
  <si>
    <t>ACBC</t>
    <phoneticPr fontId="3" type="noConversion"/>
  </si>
  <si>
    <t>A multistage amplifier technique with embedded frequency compensation</t>
  </si>
  <si>
    <t>Hiok-Tiaq Ng</t>
  </si>
  <si>
    <t>Arizona State University</t>
    <phoneticPr fontId="3" type="noConversion"/>
  </si>
  <si>
    <t>EFC</t>
    <phoneticPr fontId="3" type="noConversion"/>
  </si>
  <si>
    <t>Hoi Lee</t>
  </si>
  <si>
    <t>HKUST</t>
  </si>
  <si>
    <t>Delft U of Tech/HKUST</t>
    <phoneticPr fontId="3" type="noConversion"/>
  </si>
  <si>
    <t>TCFs</t>
    <phoneticPr fontId="3" type="noConversion"/>
  </si>
  <si>
    <t>DLPC</t>
    <phoneticPr fontId="3" type="noConversion"/>
  </si>
  <si>
    <t>Transconductance with capacitances feedback compensation for multistage amplifiers</t>
  </si>
  <si>
    <t>TCFC</t>
    <phoneticPr fontId="3" type="noConversion"/>
  </si>
  <si>
    <t>Active-feedback frequency-compensation technique for low-power multistage amplifiers</t>
  </si>
  <si>
    <t>Impedance Adapting Compensation for Low-Power Multistage Amplifiers</t>
  </si>
  <si>
    <t>Beijing University of Technology</t>
  </si>
  <si>
    <t>IAC</t>
    <phoneticPr fontId="3" type="noConversion"/>
  </si>
  <si>
    <t>Total Rm(kOhm)</t>
    <phoneticPr fontId="3" type="noConversion"/>
  </si>
  <si>
    <t>Single Miller capacitor frequency compensation technique for low-power multistage amplifiers</t>
  </si>
  <si>
    <t>Xiaohua Fan</t>
  </si>
  <si>
    <t>Texas A &amp; M University</t>
  </si>
  <si>
    <t>ACs</t>
    <phoneticPr fontId="3" type="noConversion"/>
  </si>
  <si>
    <t>Cross Feedforward Cascode Compensation for Low-Power Three-Stage Amplifier With Large Capacitive Load</t>
  </si>
  <si>
    <t>Nanyang Technological University</t>
  </si>
  <si>
    <t>CFCC</t>
    <phoneticPr fontId="3" type="noConversion"/>
  </si>
  <si>
    <t>Advances in Reversed Nested Miller Compensation</t>
  </si>
  <si>
    <t>Alfio Dario Grasso</t>
  </si>
  <si>
    <t>Universita’ Di Catania</t>
  </si>
  <si>
    <t>RAFFC</t>
    <phoneticPr fontId="3" type="noConversion"/>
  </si>
  <si>
    <t>Dual Active-Capacitive-Feedback Compensation for Low-Power Large-Capacitive-Load Three-Stage Amplifiers</t>
  </si>
  <si>
    <t>The University of Texas at Dallas</t>
  </si>
  <si>
    <t>DACFC</t>
    <phoneticPr fontId="3" type="noConversion"/>
  </si>
  <si>
    <t>A 0.016-mm&lt;sup&gt;2&lt;/sup&gt; 144-μ W Three-Stage Amplifier Capable of Driving 1-to-15 nF Capacitive Load With &gt; 0.95-MHz GBW</t>
  </si>
  <si>
    <t>University of Macau</t>
  </si>
  <si>
    <t>AC+TCF</t>
    <phoneticPr fontId="3" type="noConversion"/>
  </si>
  <si>
    <t>Xiaohong Peng</t>
    <phoneticPr fontId="3" type="noConversion"/>
  </si>
  <si>
    <t>Song Guo</t>
    <phoneticPr fontId="3" type="noConversion"/>
  </si>
  <si>
    <t>Sau Siong Chong</t>
    <phoneticPr fontId="3" type="noConversion"/>
  </si>
  <si>
    <t>Zushu Yan</t>
    <phoneticPr fontId="3" type="noConversion"/>
  </si>
  <si>
    <t>R.G.H. Eschauzier</t>
    <phoneticPr fontId="3" type="noConversion"/>
  </si>
  <si>
    <t>A Cascode Miller-Compensated Three-Stage Amplifier With Local Impedance Attenuation for Optimized Complex-Pole Control</t>
  </si>
  <si>
    <t>Min Tan</t>
  </si>
  <si>
    <t>17.3 A 0.9V 6.3μW multistage amplifier driving 500pF capacitive load with 1.34MHz GBW</t>
  </si>
  <si>
    <t>ISSCC</t>
    <phoneticPr fontId="3" type="noConversion"/>
  </si>
  <si>
    <t>Wanyuan Qu</t>
  </si>
  <si>
    <t>KAIST</t>
    <phoneticPr fontId="3" type="noConversion"/>
  </si>
  <si>
    <t>LEC</t>
    <phoneticPr fontId="3" type="noConversion"/>
  </si>
  <si>
    <t>HKUST</t>
    <phoneticPr fontId="3" type="noConversion"/>
  </si>
  <si>
    <t>AC</t>
    <phoneticPr fontId="3" type="noConversion"/>
  </si>
  <si>
    <t>CLIA</t>
    <phoneticPr fontId="3" type="noConversion"/>
  </si>
  <si>
    <t>Nested-Current-Mirror Rail-to-Rail-Output Single-Stage Amplifier With Enhancements of DC Gain, GBW and Slew Rate</t>
  </si>
  <si>
    <t>NCM</t>
    <phoneticPr fontId="3" type="noConversion"/>
  </si>
  <si>
    <t>AZC</t>
    <phoneticPr fontId="3" type="noConversion"/>
  </si>
  <si>
    <t>Design-Oriented Analysis for Miller Compensation and Its Application to Multistage Amplifier Design</t>
  </si>
  <si>
    <t>TCAS2</t>
    <phoneticPr fontId="3" type="noConversion"/>
  </si>
  <si>
    <t>Dual AC Boosting Compensation Scheme for Multistage Amplifiers</t>
  </si>
  <si>
    <t>Chuan Qin</t>
  </si>
  <si>
    <t>Tsinghua University</t>
  </si>
  <si>
    <t>DACBC</t>
    <phoneticPr fontId="3" type="noConversion"/>
  </si>
  <si>
    <t>High-Performance Three-Stage Single-Miller CMOS OTA With No Upper Limit of C_L</t>
  </si>
  <si>
    <t>VLCL</t>
    <phoneticPr fontId="3" type="noConversion"/>
  </si>
  <si>
    <t>Optimized Active Single-Miller Capacitor Compensation With Inner Half-Feedforward Stage for Very High-Load Three-Stage OTAs</t>
  </si>
  <si>
    <t>Davide Marano</t>
  </si>
  <si>
    <t>Power-Scaling Output-Compensated Three-Stage OTAs for Wide Load Range Applications</t>
  </si>
  <si>
    <t>Joseph Riad</t>
  </si>
  <si>
    <t>NSFC</t>
    <phoneticPr fontId="3" type="noConversion"/>
  </si>
  <si>
    <t>An Isolated Frequency Compensation Technique for Ultra-Low-Power Low-Noise Two-Stage OTAs</t>
  </si>
  <si>
    <t>Ahmad Reza Danesh</t>
  </si>
  <si>
    <t>University of California at Irvine</t>
  </si>
  <si>
    <t>IFC</t>
    <phoneticPr fontId="3" type="noConversion"/>
  </si>
  <si>
    <t>A 55-nm Three-Stage Operational Transconductance Amplifier With Single Cascode Miller Compensation for Large Capacitive Loads</t>
  </si>
  <si>
    <t>TVLSI</t>
    <phoneticPr fontId="3" type="noConversion"/>
  </si>
  <si>
    <t>Ranran Zhou</t>
  </si>
  <si>
    <t>Shandong University</t>
  </si>
  <si>
    <t>SCMC</t>
    <phoneticPr fontId="3" type="noConversion"/>
  </si>
  <si>
    <t>Hybrid Cascode Frequency Compensation for Four-Stage OTAs Driving a Wide Range of CL</t>
  </si>
  <si>
    <t>Hamed Aminzadeh</t>
  </si>
  <si>
    <t>Payame Noor University</t>
  </si>
  <si>
    <t>HCFC</t>
    <phoneticPr fontId="3" type="noConversion"/>
  </si>
  <si>
    <t>SSCL</t>
    <phoneticPr fontId="3" type="noConversion"/>
  </si>
  <si>
    <t>An Unconditionally Stable Three-Stage OTA</t>
  </si>
  <si>
    <t>-</t>
    <phoneticPr fontId="3" type="noConversion"/>
  </si>
  <si>
    <t>Payame Noor University</t>
    <phoneticPr fontId="3" type="noConversion"/>
  </si>
  <si>
    <t>AFFC</t>
    <phoneticPr fontId="3" type="noConversion"/>
  </si>
  <si>
    <t>DFCFC2</t>
    <phoneticPr fontId="3" type="noConversion"/>
  </si>
  <si>
    <t>SMC</t>
    <phoneticPr fontId="3" type="noConversion"/>
  </si>
  <si>
    <t>A dual-path bandwidth extension amplifier topology with dual-loop parallel compensation</t>
    <phoneticPr fontId="3" type="noConversion"/>
  </si>
  <si>
    <t>AZ</t>
    <phoneticPr fontId="3" type="noConversion"/>
  </si>
  <si>
    <t>ASMIHF</t>
    <phoneticPr fontId="3" type="noConversion"/>
  </si>
  <si>
    <t>FOMSA</t>
    <phoneticPr fontId="3" type="noConversion"/>
  </si>
  <si>
    <t>FOMLA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</si>
</sst>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b/>
      <sz val="15"/>
      <color theme="3"/>
      <name val="等线"/>
      <family val="2"/>
      <charset val="134"/>
      <scheme val="minor"/>
    </font>
    <font>
      <sz val="10"/>
      <color indexed="8"/>
      <name val="Arial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4"/>
      <color indexed="8"/>
      <name val="Arial"/>
      <family val="2"/>
    </font>
    <font>
      <b/>
      <sz val="14"/>
      <name val="Arial"/>
      <family val="2"/>
    </font>
    <font>
      <sz val="14"/>
      <color theme="1"/>
      <name val="等线"/>
      <family val="2"/>
      <scheme val="minor"/>
    </font>
    <font>
      <sz val="11"/>
      <color theme="1"/>
      <name val="等线"/>
      <family val="4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1" applyNumberFormat="0" applyFill="0" applyAlignment="0" applyProtection="0">
      <alignment vertical="center"/>
    </xf>
    <xf numFmtId="0" fontId="2" fillId="0" borderId="0"/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</cellStyleXfs>
  <cellXfs count="55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0" fontId="7" fillId="0" borderId="0" xfId="0" applyFont="1"/>
    <xf numFmtId="49" fontId="5" fillId="0" borderId="6" xfId="2" applyNumberFormat="1" applyFont="1" applyBorder="1" applyAlignment="1">
      <alignment horizontal="center"/>
    </xf>
    <xf numFmtId="49" fontId="6" fillId="0" borderId="7" xfId="0" applyNumberFormat="1" applyFont="1" applyBorder="1" applyAlignment="1">
      <alignment horizontal="center"/>
    </xf>
    <xf numFmtId="49" fontId="6" fillId="0" borderId="7" xfId="0" applyNumberFormat="1" applyFont="1" applyBorder="1" applyAlignment="1">
      <alignment horizont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1" fontId="0" fillId="0" borderId="2" xfId="0" applyNumberFormat="1" applyBorder="1"/>
    <xf numFmtId="0" fontId="8" fillId="0" borderId="2" xfId="0" applyFont="1" applyBorder="1"/>
    <xf numFmtId="0" fontId="9" fillId="3" borderId="2" xfId="3" applyBorder="1" applyAlignment="1"/>
    <xf numFmtId="0" fontId="11" fillId="5" borderId="2" xfId="5" applyBorder="1" applyAlignment="1"/>
    <xf numFmtId="0" fontId="10" fillId="4" borderId="2" xfId="4" applyBorder="1" applyAlignment="1"/>
    <xf numFmtId="49" fontId="6" fillId="0" borderId="8" xfId="0" applyNumberFormat="1" applyFont="1" applyBorder="1" applyAlignment="1">
      <alignment horizontal="center"/>
    </xf>
    <xf numFmtId="1" fontId="0" fillId="0" borderId="9" xfId="0" applyNumberFormat="1" applyBorder="1"/>
    <xf numFmtId="0" fontId="4" fillId="6" borderId="2" xfId="6" applyBorder="1" applyAlignment="1"/>
    <xf numFmtId="11" fontId="0" fillId="0" borderId="0" xfId="0" applyNumberFormat="1"/>
    <xf numFmtId="11" fontId="0" fillId="0" borderId="9" xfId="0" applyNumberFormat="1" applyBorder="1"/>
    <xf numFmtId="11" fontId="1" fillId="0" borderId="10" xfId="1" applyNumberFormat="1" applyBorder="1" applyAlignment="1">
      <alignment horizontal="center"/>
    </xf>
    <xf numFmtId="11" fontId="6" fillId="0" borderId="8" xfId="0" applyNumberFormat="1" applyFont="1" applyBorder="1" applyAlignment="1">
      <alignment horizontal="center"/>
    </xf>
    <xf numFmtId="11" fontId="6" fillId="0" borderId="7" xfId="0" applyNumberFormat="1" applyFont="1" applyBorder="1" applyAlignment="1">
      <alignment horizontal="center"/>
    </xf>
    <xf numFmtId="11" fontId="0" fillId="0" borderId="2" xfId="0" applyNumberFormat="1" applyBorder="1"/>
    <xf numFmtId="0" fontId="0" fillId="0" borderId="11" xfId="0" applyBorder="1"/>
    <xf numFmtId="0" fontId="0" fillId="0" borderId="11" xfId="0" applyBorder="1" applyAlignment="1">
      <alignment wrapText="1"/>
    </xf>
    <xf numFmtId="0" fontId="11" fillId="5" borderId="11" xfId="5" applyBorder="1" applyAlignment="1"/>
    <xf numFmtId="11" fontId="0" fillId="0" borderId="11" xfId="0" applyNumberFormat="1" applyBorder="1"/>
    <xf numFmtId="1" fontId="0" fillId="0" borderId="11" xfId="0" applyNumberFormat="1" applyBorder="1"/>
    <xf numFmtId="1" fontId="0" fillId="0" borderId="12" xfId="0" applyNumberFormat="1" applyBorder="1"/>
    <xf numFmtId="11" fontId="0" fillId="0" borderId="12" xfId="0" applyNumberFormat="1" applyBorder="1"/>
    <xf numFmtId="0" fontId="0" fillId="0" borderId="13" xfId="0" applyBorder="1"/>
    <xf numFmtId="0" fontId="0" fillId="0" borderId="13" xfId="0" applyBorder="1" applyAlignment="1">
      <alignment wrapText="1"/>
    </xf>
    <xf numFmtId="0" fontId="9" fillId="3" borderId="13" xfId="3" applyBorder="1" applyAlignment="1"/>
    <xf numFmtId="11" fontId="0" fillId="0" borderId="13" xfId="0" applyNumberFormat="1" applyBorder="1"/>
    <xf numFmtId="1" fontId="0" fillId="0" borderId="13" xfId="0" applyNumberFormat="1" applyBorder="1"/>
    <xf numFmtId="1" fontId="0" fillId="0" borderId="14" xfId="0" applyNumberFormat="1" applyBorder="1"/>
    <xf numFmtId="11" fontId="0" fillId="0" borderId="14" xfId="0" applyNumberFormat="1" applyBorder="1"/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9" fillId="3" borderId="4" xfId="3" applyBorder="1" applyAlignment="1"/>
    <xf numFmtId="0" fontId="4" fillId="6" borderId="4" xfId="6" applyBorder="1" applyAlignment="1"/>
    <xf numFmtId="11" fontId="0" fillId="0" borderId="4" xfId="0" applyNumberFormat="1" applyBorder="1"/>
    <xf numFmtId="1" fontId="0" fillId="0" borderId="4" xfId="0" applyNumberFormat="1" applyBorder="1"/>
    <xf numFmtId="1" fontId="0" fillId="0" borderId="10" xfId="0" applyNumberFormat="1" applyBorder="1"/>
    <xf numFmtId="11" fontId="0" fillId="0" borderId="10" xfId="0" applyNumberFormat="1" applyBorder="1"/>
    <xf numFmtId="0" fontId="0" fillId="0" borderId="15" xfId="0" applyBorder="1"/>
    <xf numFmtId="0" fontId="10" fillId="4" borderId="11" xfId="4" applyBorder="1" applyAlignment="1"/>
    <xf numFmtId="0" fontId="4" fillId="6" borderId="15" xfId="6" applyBorder="1" applyAlignment="1"/>
    <xf numFmtId="0" fontId="9" fillId="3" borderId="11" xfId="3" applyBorder="1" applyAlignment="1"/>
    <xf numFmtId="0" fontId="10" fillId="4" borderId="13" xfId="4" applyBorder="1" applyAlignment="1"/>
    <xf numFmtId="0" fontId="1" fillId="0" borderId="4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5" xfId="1" applyBorder="1" applyAlignment="1">
      <alignment horizontal="center"/>
    </xf>
    <xf numFmtId="0" fontId="0" fillId="2" borderId="0" xfId="0" applyFill="1" applyAlignment="1">
      <alignment horizontal="center"/>
    </xf>
  </cellXfs>
  <cellStyles count="7">
    <cellStyle name="20% - 着色 1" xfId="6" builtinId="30"/>
    <cellStyle name="Normal_Sheet4" xfId="2" xr:uid="{4D5218D1-8851-4FA1-B34A-31FA18D8787B}"/>
    <cellStyle name="标题 1" xfId="1" builtinId="16"/>
    <cellStyle name="差" xfId="4" builtinId="27"/>
    <cellStyle name="常规" xfId="0" builtinId="0"/>
    <cellStyle name="好" xfId="3" builtinId="26"/>
    <cellStyle name="适中" xfId="5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microsoft.com/office/2017/10/relationships/person" Target="persons/person0.xml"/><Relationship Id="rId5" Type="http://schemas.openxmlformats.org/officeDocument/2006/relationships/sharedStrings" Target="sharedStrings.xml"/><Relationship Id="rId10" Type="http://schemas.microsoft.com/office/2017/10/relationships/person" Target="persons/person1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FoM vs. Year of Publication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SmallSignal FoM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46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</a:gra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Overview!$B$3:$B$101</c:f>
              <c:numCache>
                <c:formatCode>General</c:formatCode>
                <c:ptCount val="97"/>
                <c:pt idx="0">
                  <c:v>1992</c:v>
                </c:pt>
                <c:pt idx="1">
                  <c:v>1992</c:v>
                </c:pt>
                <c:pt idx="2">
                  <c:v>1994</c:v>
                </c:pt>
                <c:pt idx="3">
                  <c:v>1994</c:v>
                </c:pt>
                <c:pt idx="4">
                  <c:v>1997</c:v>
                </c:pt>
                <c:pt idx="5">
                  <c:v>1999</c:v>
                </c:pt>
                <c:pt idx="6">
                  <c:v>2001</c:v>
                </c:pt>
                <c:pt idx="7">
                  <c:v>2001</c:v>
                </c:pt>
                <c:pt idx="8">
                  <c:v>2001</c:v>
                </c:pt>
                <c:pt idx="9">
                  <c:v>2001</c:v>
                </c:pt>
                <c:pt idx="10">
                  <c:v>2002</c:v>
                </c:pt>
                <c:pt idx="11">
                  <c:v>2002</c:v>
                </c:pt>
                <c:pt idx="12">
                  <c:v>2003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2005</c:v>
                </c:pt>
                <c:pt idx="17">
                  <c:v>2007</c:v>
                </c:pt>
                <c:pt idx="18">
                  <c:v>2011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2015</c:v>
                </c:pt>
                <c:pt idx="25">
                  <c:v>2017</c:v>
                </c:pt>
                <c:pt idx="26">
                  <c:v>2017</c:v>
                </c:pt>
                <c:pt idx="27">
                  <c:v>2020</c:v>
                </c:pt>
                <c:pt idx="28">
                  <c:v>2022</c:v>
                </c:pt>
                <c:pt idx="29">
                  <c:v>2023</c:v>
                </c:pt>
                <c:pt idx="30">
                  <c:v>2023</c:v>
                </c:pt>
                <c:pt idx="31">
                  <c:v>2024</c:v>
                </c:pt>
              </c:numCache>
            </c:numRef>
          </c:xVal>
          <c:yVal>
            <c:numRef>
              <c:f>Overview!$AB$3:$AB$101</c:f>
              <c:numCache>
                <c:formatCode>0</c:formatCode>
                <c:ptCount val="97"/>
                <c:pt idx="0">
                  <c:v>147.5</c:v>
                </c:pt>
                <c:pt idx="1">
                  <c:v>131.57894736842104</c:v>
                </c:pt>
                <c:pt idx="2">
                  <c:v>121.2121212121212</c:v>
                </c:pt>
                <c:pt idx="3">
                  <c:v>363.63636363636363</c:v>
                </c:pt>
                <c:pt idx="4">
                  <c:v>14.285714285714286</c:v>
                </c:pt>
                <c:pt idx="5">
                  <c:v>272.463768115942</c:v>
                </c:pt>
                <c:pt idx="6">
                  <c:v>205</c:v>
                </c:pt>
                <c:pt idx="7">
                  <c:v>300.49261083743841</c:v>
                </c:pt>
                <c:pt idx="8">
                  <c:v>384.61538461538458</c:v>
                </c:pt>
                <c:pt idx="9">
                  <c:v>619.04761904761904</c:v>
                </c:pt>
                <c:pt idx="10">
                  <c:v>164.10256410256409</c:v>
                </c:pt>
                <c:pt idx="11">
                  <c:v>1276.3636363636363</c:v>
                </c:pt>
                <c:pt idx="12">
                  <c:v>2545.4545454545455</c:v>
                </c:pt>
                <c:pt idx="13">
                  <c:v>1350</c:v>
                </c:pt>
                <c:pt idx="14">
                  <c:v>2932.0987654320988</c:v>
                </c:pt>
                <c:pt idx="15">
                  <c:v>9500</c:v>
                </c:pt>
                <c:pt idx="16">
                  <c:v>1452.6315789473683</c:v>
                </c:pt>
                <c:pt idx="17">
                  <c:v>5238.0952380952385</c:v>
                </c:pt>
                <c:pt idx="18">
                  <c:v>22000</c:v>
                </c:pt>
                <c:pt idx="19">
                  <c:v>11076.923076923076</c:v>
                </c:pt>
                <c:pt idx="20">
                  <c:v>49019.607843137252</c:v>
                </c:pt>
                <c:pt idx="21">
                  <c:v>9513.8888888888905</c:v>
                </c:pt>
                <c:pt idx="22">
                  <c:v>108064.51612903226</c:v>
                </c:pt>
                <c:pt idx="23">
                  <c:v>153889.76377952757</c:v>
                </c:pt>
                <c:pt idx="24">
                  <c:v>11791.666666666666</c:v>
                </c:pt>
                <c:pt idx="25">
                  <c:v>74568.965517241391</c:v>
                </c:pt>
                <c:pt idx="26">
                  <c:v>27733.333333333336</c:v>
                </c:pt>
                <c:pt idx="27">
                  <c:v>124324.32432432432</c:v>
                </c:pt>
                <c:pt idx="28">
                  <c:v>146666.66666666669</c:v>
                </c:pt>
                <c:pt idx="29">
                  <c:v>85987.261146496836</c:v>
                </c:pt>
                <c:pt idx="30">
                  <c:v>163043.47826086957</c:v>
                </c:pt>
                <c:pt idx="31">
                  <c:v>41666.666666666672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83-4741-A75E-BB67005A0571}"/>
            </c:ext>
          </c:extLst>
        </c:ser>
        <c:ser>
          <c:idx val="1"/>
          <c:order val="1"/>
          <c:tx>
            <c:v>LargeSignal FoM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46000">
                    <a:schemeClr val="accent2">
                      <a:lumMod val="95000"/>
                      <a:lumOff val="5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Overview!$B$3:$B$101</c:f>
              <c:numCache>
                <c:formatCode>General</c:formatCode>
                <c:ptCount val="97"/>
                <c:pt idx="0">
                  <c:v>1992</c:v>
                </c:pt>
                <c:pt idx="1">
                  <c:v>1992</c:v>
                </c:pt>
                <c:pt idx="2">
                  <c:v>1994</c:v>
                </c:pt>
                <c:pt idx="3">
                  <c:v>1994</c:v>
                </c:pt>
                <c:pt idx="4">
                  <c:v>1997</c:v>
                </c:pt>
                <c:pt idx="5">
                  <c:v>1999</c:v>
                </c:pt>
                <c:pt idx="6">
                  <c:v>2001</c:v>
                </c:pt>
                <c:pt idx="7">
                  <c:v>2001</c:v>
                </c:pt>
                <c:pt idx="8">
                  <c:v>2001</c:v>
                </c:pt>
                <c:pt idx="9">
                  <c:v>2001</c:v>
                </c:pt>
                <c:pt idx="10">
                  <c:v>2002</c:v>
                </c:pt>
                <c:pt idx="11">
                  <c:v>2002</c:v>
                </c:pt>
                <c:pt idx="12">
                  <c:v>2003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2005</c:v>
                </c:pt>
                <c:pt idx="17">
                  <c:v>2007</c:v>
                </c:pt>
                <c:pt idx="18">
                  <c:v>2011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2015</c:v>
                </c:pt>
                <c:pt idx="25">
                  <c:v>2017</c:v>
                </c:pt>
                <c:pt idx="26">
                  <c:v>2017</c:v>
                </c:pt>
                <c:pt idx="27">
                  <c:v>2020</c:v>
                </c:pt>
                <c:pt idx="28">
                  <c:v>2022</c:v>
                </c:pt>
                <c:pt idx="29">
                  <c:v>2023</c:v>
                </c:pt>
                <c:pt idx="30">
                  <c:v>2023</c:v>
                </c:pt>
                <c:pt idx="31">
                  <c:v>2024</c:v>
                </c:pt>
              </c:numCache>
            </c:numRef>
          </c:xVal>
          <c:yVal>
            <c:numRef>
              <c:f>Overview!$AC$3:$AC$101</c:f>
              <c:numCache>
                <c:formatCode>0</c:formatCode>
                <c:ptCount val="97"/>
                <c:pt idx="0">
                  <c:v>57.5</c:v>
                </c:pt>
                <c:pt idx="1">
                  <c:v>46.05263157894737</c:v>
                </c:pt>
                <c:pt idx="2">
                  <c:v>121.2121212121212</c:v>
                </c:pt>
                <c:pt idx="3">
                  <c:v>424.24242424242425</c:v>
                </c:pt>
                <c:pt idx="4">
                  <c:v>71.428571428571431</c:v>
                </c:pt>
                <c:pt idx="5">
                  <c:v>400</c:v>
                </c:pt>
                <c:pt idx="6">
                  <c:v>83.75</c:v>
                </c:pt>
                <c:pt idx="7">
                  <c:v>123.15270935960591</c:v>
                </c:pt>
                <c:pt idx="8">
                  <c:v>153.84615384615384</c:v>
                </c:pt>
                <c:pt idx="9">
                  <c:v>313.09523809523813</c:v>
                </c:pt>
                <c:pt idx="10">
                  <c:v>114.87179487179486</c:v>
                </c:pt>
                <c:pt idx="11">
                  <c:v>472.72727272727269</c:v>
                </c:pt>
                <c:pt idx="12">
                  <c:v>1200</c:v>
                </c:pt>
                <c:pt idx="13">
                  <c:v>447</c:v>
                </c:pt>
                <c:pt idx="14">
                  <c:v>1543.2098765432099</c:v>
                </c:pt>
                <c:pt idx="15">
                  <c:v>3450</c:v>
                </c:pt>
                <c:pt idx="16">
                  <c:v>724.73684210526312</c:v>
                </c:pt>
                <c:pt idx="17">
                  <c:v>6142.8571428571431</c:v>
                </c:pt>
                <c:pt idx="18">
                  <c:v>9000</c:v>
                </c:pt>
                <c:pt idx="19">
                  <c:v>5230.7692307692305</c:v>
                </c:pt>
                <c:pt idx="20">
                  <c:v>15931.372549019607</c:v>
                </c:pt>
                <c:pt idx="21">
                  <c:v>4097.2222222222226</c:v>
                </c:pt>
                <c:pt idx="22">
                  <c:v>50000</c:v>
                </c:pt>
                <c:pt idx="23">
                  <c:v>37921.259842519685</c:v>
                </c:pt>
                <c:pt idx="24">
                  <c:v>1066.6666666666667</c:v>
                </c:pt>
                <c:pt idx="25">
                  <c:v>31465.517241379312</c:v>
                </c:pt>
                <c:pt idx="26">
                  <c:v>11200</c:v>
                </c:pt>
                <c:pt idx="27">
                  <c:v>10810.810810810812</c:v>
                </c:pt>
                <c:pt idx="28">
                  <c:v>29333.333333333336</c:v>
                </c:pt>
                <c:pt idx="29">
                  <c:v>12738.853503184715</c:v>
                </c:pt>
                <c:pt idx="30">
                  <c:v>18115.942028985508</c:v>
                </c:pt>
                <c:pt idx="31">
                  <c:v>31944.444444444442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83-4741-A75E-BB67005A0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700432"/>
        <c:axId val="1482700848"/>
      </c:scatterChart>
      <c:valAx>
        <c:axId val="148270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2700848"/>
        <c:crosses val="autoZero"/>
        <c:crossBetween val="midCat"/>
      </c:valAx>
      <c:valAx>
        <c:axId val="14827008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FoM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270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Technology Node</a:t>
            </a:r>
          </a:p>
          <a:p>
            <a:pPr>
              <a:defRPr/>
            </a:pPr>
            <a:r>
              <a:rPr lang="en-US"/>
              <a:t> vs. Year of Publication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Fab Tech.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46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Overview!$B$3:$B$101</c:f>
              <c:numCache>
                <c:formatCode>General</c:formatCode>
                <c:ptCount val="97"/>
                <c:pt idx="0">
                  <c:v>1992</c:v>
                </c:pt>
                <c:pt idx="1">
                  <c:v>1992</c:v>
                </c:pt>
                <c:pt idx="2">
                  <c:v>1994</c:v>
                </c:pt>
                <c:pt idx="3">
                  <c:v>1994</c:v>
                </c:pt>
                <c:pt idx="4">
                  <c:v>1997</c:v>
                </c:pt>
                <c:pt idx="5">
                  <c:v>1999</c:v>
                </c:pt>
                <c:pt idx="6">
                  <c:v>2001</c:v>
                </c:pt>
                <c:pt idx="7">
                  <c:v>2001</c:v>
                </c:pt>
                <c:pt idx="8">
                  <c:v>2001</c:v>
                </c:pt>
                <c:pt idx="9">
                  <c:v>2001</c:v>
                </c:pt>
                <c:pt idx="10">
                  <c:v>2002</c:v>
                </c:pt>
                <c:pt idx="11">
                  <c:v>2002</c:v>
                </c:pt>
                <c:pt idx="12">
                  <c:v>2003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2005</c:v>
                </c:pt>
                <c:pt idx="17">
                  <c:v>2007</c:v>
                </c:pt>
                <c:pt idx="18">
                  <c:v>2011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2015</c:v>
                </c:pt>
                <c:pt idx="25">
                  <c:v>2017</c:v>
                </c:pt>
                <c:pt idx="26">
                  <c:v>2017</c:v>
                </c:pt>
                <c:pt idx="27">
                  <c:v>2020</c:v>
                </c:pt>
                <c:pt idx="28">
                  <c:v>2022</c:v>
                </c:pt>
                <c:pt idx="29">
                  <c:v>2023</c:v>
                </c:pt>
                <c:pt idx="30">
                  <c:v>2023</c:v>
                </c:pt>
                <c:pt idx="31">
                  <c:v>2024</c:v>
                </c:pt>
              </c:numCache>
            </c:numRef>
          </c:xVal>
          <c:yVal>
            <c:numRef>
              <c:f>Overview!$G$3:$G$101</c:f>
              <c:numCache>
                <c:formatCode>General</c:formatCode>
                <c:ptCount val="97"/>
                <c:pt idx="0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2000</c:v>
                </c:pt>
                <c:pt idx="5">
                  <c:v>600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350</c:v>
                </c:pt>
                <c:pt idx="11">
                  <c:v>350</c:v>
                </c:pt>
                <c:pt idx="12">
                  <c:v>600</c:v>
                </c:pt>
                <c:pt idx="13">
                  <c:v>800</c:v>
                </c:pt>
                <c:pt idx="14">
                  <c:v>350</c:v>
                </c:pt>
                <c:pt idx="15">
                  <c:v>350</c:v>
                </c:pt>
                <c:pt idx="16">
                  <c:v>500</c:v>
                </c:pt>
                <c:pt idx="17">
                  <c:v>500</c:v>
                </c:pt>
                <c:pt idx="18">
                  <c:v>350</c:v>
                </c:pt>
                <c:pt idx="19">
                  <c:v>350</c:v>
                </c:pt>
                <c:pt idx="20">
                  <c:v>65</c:v>
                </c:pt>
                <c:pt idx="21">
                  <c:v>350</c:v>
                </c:pt>
                <c:pt idx="22">
                  <c:v>180</c:v>
                </c:pt>
                <c:pt idx="23">
                  <c:v>130</c:v>
                </c:pt>
                <c:pt idx="24">
                  <c:v>180</c:v>
                </c:pt>
                <c:pt idx="25">
                  <c:v>180</c:v>
                </c:pt>
                <c:pt idx="26">
                  <c:v>65</c:v>
                </c:pt>
                <c:pt idx="27">
                  <c:v>130</c:v>
                </c:pt>
                <c:pt idx="28">
                  <c:v>65</c:v>
                </c:pt>
                <c:pt idx="29">
                  <c:v>55</c:v>
                </c:pt>
                <c:pt idx="30">
                  <c:v>65</c:v>
                </c:pt>
                <c:pt idx="31">
                  <c:v>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DE-477F-9BFC-DF44B3ED5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700432"/>
        <c:axId val="1482700848"/>
      </c:scatterChart>
      <c:valAx>
        <c:axId val="14827004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2700848"/>
        <c:crosses val="autoZero"/>
        <c:crossBetween val="midCat"/>
      </c:valAx>
      <c:valAx>
        <c:axId val="1482700848"/>
        <c:scaling>
          <c:logBase val="10"/>
          <c:orientation val="maxMin"/>
          <c:max val="5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Technology Node</a:t>
                </a:r>
                <a:r>
                  <a:rPr lang="en-US" altLang="zh-CN"/>
                  <a:t>/nm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270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C_Load</a:t>
            </a:r>
            <a:r>
              <a:rPr lang="zh-CN" altLang="en-US" baseline="0"/>
              <a:t> </a:t>
            </a:r>
            <a:endParaRPr lang="en-US"/>
          </a:p>
          <a:p>
            <a:pPr>
              <a:defRPr/>
            </a:pPr>
            <a:r>
              <a:rPr lang="en-US"/>
              <a:t> vs. Year of Publication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Cap. Load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46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Overview!$B$3:$B$101</c:f>
              <c:numCache>
                <c:formatCode>General</c:formatCode>
                <c:ptCount val="97"/>
                <c:pt idx="0">
                  <c:v>1992</c:v>
                </c:pt>
                <c:pt idx="1">
                  <c:v>1992</c:v>
                </c:pt>
                <c:pt idx="2">
                  <c:v>1994</c:v>
                </c:pt>
                <c:pt idx="3">
                  <c:v>1994</c:v>
                </c:pt>
                <c:pt idx="4">
                  <c:v>1997</c:v>
                </c:pt>
                <c:pt idx="5">
                  <c:v>1999</c:v>
                </c:pt>
                <c:pt idx="6">
                  <c:v>2001</c:v>
                </c:pt>
                <c:pt idx="7">
                  <c:v>2001</c:v>
                </c:pt>
                <c:pt idx="8">
                  <c:v>2001</c:v>
                </c:pt>
                <c:pt idx="9">
                  <c:v>2001</c:v>
                </c:pt>
                <c:pt idx="10">
                  <c:v>2002</c:v>
                </c:pt>
                <c:pt idx="11">
                  <c:v>2002</c:v>
                </c:pt>
                <c:pt idx="12">
                  <c:v>2003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2005</c:v>
                </c:pt>
                <c:pt idx="17">
                  <c:v>2007</c:v>
                </c:pt>
                <c:pt idx="18">
                  <c:v>2011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2015</c:v>
                </c:pt>
                <c:pt idx="25">
                  <c:v>2017</c:v>
                </c:pt>
                <c:pt idx="26">
                  <c:v>2017</c:v>
                </c:pt>
                <c:pt idx="27">
                  <c:v>2020</c:v>
                </c:pt>
                <c:pt idx="28">
                  <c:v>2022</c:v>
                </c:pt>
                <c:pt idx="29">
                  <c:v>2023</c:v>
                </c:pt>
                <c:pt idx="30">
                  <c:v>2023</c:v>
                </c:pt>
                <c:pt idx="31">
                  <c:v>2024</c:v>
                </c:pt>
              </c:numCache>
            </c:numRef>
          </c:xVal>
          <c:yVal>
            <c:numRef>
              <c:f>Overview!$M$3:$M$101</c:f>
              <c:numCache>
                <c:formatCode>General</c:formatCode>
                <c:ptCount val="97"/>
                <c:pt idx="0">
                  <c:v>100</c:v>
                </c:pt>
                <c:pt idx="1">
                  <c:v>100</c:v>
                </c:pt>
                <c:pt idx="2">
                  <c:v>10</c:v>
                </c:pt>
                <c:pt idx="3">
                  <c:v>10</c:v>
                </c:pt>
                <c:pt idx="4">
                  <c:v>20</c:v>
                </c:pt>
                <c:pt idx="5">
                  <c:v>40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16</c:v>
                </c:pt>
                <c:pt idx="11">
                  <c:v>130</c:v>
                </c:pt>
                <c:pt idx="12">
                  <c:v>120</c:v>
                </c:pt>
                <c:pt idx="13">
                  <c:v>120</c:v>
                </c:pt>
                <c:pt idx="14">
                  <c:v>500</c:v>
                </c:pt>
                <c:pt idx="15">
                  <c:v>150</c:v>
                </c:pt>
                <c:pt idx="16">
                  <c:v>120</c:v>
                </c:pt>
                <c:pt idx="17">
                  <c:v>500</c:v>
                </c:pt>
                <c:pt idx="18">
                  <c:v>150</c:v>
                </c:pt>
                <c:pt idx="19">
                  <c:v>800</c:v>
                </c:pt>
                <c:pt idx="20">
                  <c:v>500</c:v>
                </c:pt>
                <c:pt idx="21">
                  <c:v>1000</c:v>
                </c:pt>
                <c:pt idx="22">
                  <c:v>500</c:v>
                </c:pt>
                <c:pt idx="23">
                  <c:v>560</c:v>
                </c:pt>
                <c:pt idx="24">
                  <c:v>150</c:v>
                </c:pt>
                <c:pt idx="25">
                  <c:v>1500</c:v>
                </c:pt>
                <c:pt idx="26">
                  <c:v>3200</c:v>
                </c:pt>
                <c:pt idx="27">
                  <c:v>50000</c:v>
                </c:pt>
                <c:pt idx="28">
                  <c:v>100000</c:v>
                </c:pt>
                <c:pt idx="29">
                  <c:v>30000</c:v>
                </c:pt>
                <c:pt idx="30">
                  <c:v>100000</c:v>
                </c:pt>
                <c:pt idx="31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E5-924D-A532-25B1F1E6F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700432"/>
        <c:axId val="1482700848"/>
      </c:scatterChart>
      <c:valAx>
        <c:axId val="148270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2700848"/>
        <c:crosses val="autoZero"/>
        <c:crossBetween val="midCat"/>
      </c:valAx>
      <c:valAx>
        <c:axId val="14827008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C_Load/pF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270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Small</a:t>
            </a:r>
            <a:r>
              <a:rPr lang="en-US" sz="2000" b="1" baseline="0"/>
              <a:t> Signal </a:t>
            </a:r>
            <a:r>
              <a:rPr lang="en-US" sz="2000" b="1"/>
              <a:t>FoM/Area vs. </a:t>
            </a:r>
            <a:r>
              <a:rPr lang="en-US" altLang="zh-CN" sz="2000" b="1"/>
              <a:t>C_LOAD</a:t>
            </a:r>
            <a:endParaRPr lang="zh-CN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SmallSignal FoM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13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64F3-46E0-B610-2331D5F65D4F}"/>
              </c:ext>
            </c:extLst>
          </c:dPt>
          <c:dPt>
            <c:idx val="16"/>
            <c:marker>
              <c:symbol val="square"/>
              <c:size val="9"/>
              <c:spPr>
                <a:solidFill>
                  <a:schemeClr val="accent3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4F3-46E0-B610-2331D5F65D4F}"/>
              </c:ext>
            </c:extLst>
          </c:dPt>
          <c:dPt>
            <c:idx val="21"/>
            <c:marker>
              <c:symbol val="diamond"/>
              <c:size val="9"/>
              <c:spPr>
                <a:solidFill>
                  <a:schemeClr val="accent3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64F3-46E0-B610-2331D5F65D4F}"/>
              </c:ext>
            </c:extLst>
          </c:dPt>
          <c:dPt>
            <c:idx val="25"/>
            <c:marker>
              <c:symbol val="triangle"/>
              <c:size val="9"/>
              <c:spPr>
                <a:solidFill>
                  <a:schemeClr val="accent3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C40-4ACC-AFA4-32872E9AA9A7}"/>
              </c:ext>
            </c:extLst>
          </c:dPt>
          <c:dLbls>
            <c:dLbl>
              <c:idx val="16"/>
              <c:layout>
                <c:manualLayout>
                  <c:x val="-0.18279559209162366"/>
                  <c:y val="2.184215180385724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CN"/>
                      <a:t>SMC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4F3-46E0-B610-2331D5F65D4F}"/>
                </c:ext>
              </c:extLst>
            </c:dLbl>
            <c:dLbl>
              <c:idx val="21"/>
              <c:layout>
                <c:manualLayout>
                  <c:x val="4.3898857350747533E-3"/>
                  <c:y val="2.276011472597979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CN"/>
                      <a:t>AZ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64F3-46E0-B610-2331D5F65D4F}"/>
                </c:ext>
              </c:extLst>
            </c:dLbl>
            <c:dLbl>
              <c:idx val="25"/>
              <c:layout>
                <c:manualLayout>
                  <c:x val="1.0104382142365924E-3"/>
                  <c:y val="-3.4101427950976398E-2"/>
                </c:manualLayout>
              </c:layout>
              <c:tx>
                <c:rich>
                  <a:bodyPr/>
                  <a:lstStyle/>
                  <a:p>
                    <a:r>
                      <a:rPr lang="en-US" altLang="zh-CN"/>
                      <a:t>AZC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C40-4ACC-AFA4-32872E9AA9A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Overview!$M$3:$M$36</c:f>
              <c:numCache>
                <c:formatCode>General</c:formatCode>
                <c:ptCount val="32"/>
                <c:pt idx="0">
                  <c:v>100</c:v>
                </c:pt>
                <c:pt idx="1">
                  <c:v>100</c:v>
                </c:pt>
                <c:pt idx="2">
                  <c:v>10</c:v>
                </c:pt>
                <c:pt idx="3">
                  <c:v>10</c:v>
                </c:pt>
                <c:pt idx="4">
                  <c:v>20</c:v>
                </c:pt>
                <c:pt idx="5">
                  <c:v>40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16</c:v>
                </c:pt>
                <c:pt idx="11">
                  <c:v>130</c:v>
                </c:pt>
                <c:pt idx="12">
                  <c:v>120</c:v>
                </c:pt>
                <c:pt idx="13">
                  <c:v>120</c:v>
                </c:pt>
                <c:pt idx="14">
                  <c:v>500</c:v>
                </c:pt>
                <c:pt idx="15">
                  <c:v>150</c:v>
                </c:pt>
                <c:pt idx="16">
                  <c:v>120</c:v>
                </c:pt>
                <c:pt idx="17">
                  <c:v>500</c:v>
                </c:pt>
                <c:pt idx="18">
                  <c:v>150</c:v>
                </c:pt>
                <c:pt idx="19">
                  <c:v>800</c:v>
                </c:pt>
                <c:pt idx="20">
                  <c:v>500</c:v>
                </c:pt>
                <c:pt idx="21">
                  <c:v>1000</c:v>
                </c:pt>
                <c:pt idx="22">
                  <c:v>500</c:v>
                </c:pt>
                <c:pt idx="23">
                  <c:v>560</c:v>
                </c:pt>
                <c:pt idx="24">
                  <c:v>150</c:v>
                </c:pt>
                <c:pt idx="25">
                  <c:v>1500</c:v>
                </c:pt>
                <c:pt idx="26">
                  <c:v>3200</c:v>
                </c:pt>
                <c:pt idx="27">
                  <c:v>50000</c:v>
                </c:pt>
                <c:pt idx="28">
                  <c:v>100000</c:v>
                </c:pt>
                <c:pt idx="29">
                  <c:v>30000</c:v>
                </c:pt>
                <c:pt idx="30">
                  <c:v>100000</c:v>
                </c:pt>
                <c:pt idx="31">
                  <c:v>45</c:v>
                </c:pt>
              </c:numCache>
            </c:numRef>
          </c:xVal>
          <c:yVal>
            <c:numRef>
              <c:f>Overview!$AD$3:$AD$36</c:f>
              <c:numCache>
                <c:formatCode>0.00E+00</c:formatCode>
                <c:ptCount val="32"/>
                <c:pt idx="0">
                  <c:v>641.30434782608688</c:v>
                </c:pt>
                <c:pt idx="1">
                  <c:v>73.099415204678365</c:v>
                </c:pt>
                <c:pt idx="2">
                  <c:v>2424.242424242424</c:v>
                </c:pt>
                <c:pt idx="3">
                  <c:v>7272.7272727272721</c:v>
                </c:pt>
                <c:pt idx="4">
                  <c:v>64.935064935064943</c:v>
                </c:pt>
                <c:pt idx="6">
                  <c:v>1138.8888888888889</c:v>
                </c:pt>
                <c:pt idx="7">
                  <c:v>2146.3757916959885</c:v>
                </c:pt>
                <c:pt idx="8">
                  <c:v>2747.2527472527468</c:v>
                </c:pt>
                <c:pt idx="9">
                  <c:v>5627.7056277056272</c:v>
                </c:pt>
                <c:pt idx="10">
                  <c:v>4102.5641025641025</c:v>
                </c:pt>
                <c:pt idx="11">
                  <c:v>42545.454545454544</c:v>
                </c:pt>
                <c:pt idx="12">
                  <c:v>50909.090909090904</c:v>
                </c:pt>
                <c:pt idx="13">
                  <c:v>22500</c:v>
                </c:pt>
                <c:pt idx="14">
                  <c:v>146604.93827160494</c:v>
                </c:pt>
                <c:pt idx="15">
                  <c:v>475000</c:v>
                </c:pt>
                <c:pt idx="16">
                  <c:v>72631.578947368413</c:v>
                </c:pt>
                <c:pt idx="17">
                  <c:v>218253.96825396825</c:v>
                </c:pt>
                <c:pt idx="18">
                  <c:v>1100000</c:v>
                </c:pt>
                <c:pt idx="19">
                  <c:v>791208.7912087912</c:v>
                </c:pt>
                <c:pt idx="20">
                  <c:v>5570409.9821746871</c:v>
                </c:pt>
                <c:pt idx="21">
                  <c:v>594618.05555555562</c:v>
                </c:pt>
                <c:pt idx="22">
                  <c:v>15437788.01843318</c:v>
                </c:pt>
                <c:pt idx="23">
                  <c:v>48090551.181102365</c:v>
                </c:pt>
                <c:pt idx="24">
                  <c:v>9070512.82051282</c:v>
                </c:pt>
                <c:pt idx="25">
                  <c:v>5736074.2705570301</c:v>
                </c:pt>
                <c:pt idx="26">
                  <c:v>3466666.666666667</c:v>
                </c:pt>
                <c:pt idx="27">
                  <c:v>20720720.72072072</c:v>
                </c:pt>
                <c:pt idx="28">
                  <c:v>52380952.380952388</c:v>
                </c:pt>
                <c:pt idx="29">
                  <c:v>17197452.229299366</c:v>
                </c:pt>
                <c:pt idx="30">
                  <c:v>18958543.983822044</c:v>
                </c:pt>
                <c:pt idx="31">
                  <c:v>905797.10144927551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CA-7C48-848E-8E4193ED1C81}"/>
            </c:ext>
          </c:extLst>
        </c:ser>
        <c:ser>
          <c:idx val="2"/>
          <c:order val="2"/>
          <c:tx>
            <c:v>SMC_R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1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square"/>
              <c:size val="11"/>
              <c:spPr>
                <a:solidFill>
                  <a:srgbClr val="00B0F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C748-4D2A-BBB2-5F1DCC039E40}"/>
              </c:ext>
            </c:extLst>
          </c:dPt>
          <c:xVal>
            <c:numRef>
              <c:f>Overview!#REF!</c:f>
            </c:numRef>
          </c:xVal>
          <c:yVal>
            <c:numRef>
              <c:f>Overview!#REF!</c:f>
              <c:numCache>
                <c:formatCode>0.00E+00</c:formatCode>
                <c:ptCount val="1"/>
                <c:pt idx="0">
                  <c:v>36507936.507936507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F3-46E0-B610-2331D5F65D4F}"/>
            </c:ext>
          </c:extLst>
        </c:ser>
        <c:ser>
          <c:idx val="3"/>
          <c:order val="3"/>
          <c:tx>
            <c:v>AFFC_R</c:v>
          </c:tx>
          <c:spPr>
            <a:ln w="2540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11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Overview!#REF!</c:f>
              <c:extLst xmlns:c15="http://schemas.microsoft.com/office/drawing/2012/chart"/>
            </c:numRef>
          </c:xVal>
          <c:yVal>
            <c:numRef>
              <c:f>Overview!#REF!</c:f>
              <c:numCache>
                <c:formatCode>0.00E+00</c:formatCode>
                <c:ptCount val="2"/>
                <c:pt idx="0">
                  <c:v>12814285.714285713</c:v>
                </c:pt>
                <c:pt idx="1">
                  <c:v>36690476.190476194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4F3-46E0-B610-2331D5F65D4F}"/>
            </c:ext>
          </c:extLst>
        </c:ser>
        <c:ser>
          <c:idx val="4"/>
          <c:order val="4"/>
          <c:tx>
            <c:v>AZ_R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Overview!#REF!</c:f>
            </c:numRef>
          </c:xVal>
          <c:yVal>
            <c:numRef>
              <c:f>Overview!#REF!</c:f>
              <c:numCache>
                <c:formatCode>0.00E+00</c:formatCode>
                <c:ptCount val="1"/>
                <c:pt idx="0">
                  <c:v>54976851.851851851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F3-46E0-B610-2331D5F65D4F}"/>
            </c:ext>
          </c:extLst>
        </c:ser>
        <c:ser>
          <c:idx val="5"/>
          <c:order val="5"/>
          <c:tx>
            <c:v>AZC_R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Overview!#REF!</c:f>
            </c:numRef>
          </c:xVal>
          <c:yVal>
            <c:numRef>
              <c:f>Overview!#REF!</c:f>
              <c:numCache>
                <c:formatCode>0.00E+00</c:formatCode>
                <c:ptCount val="1"/>
                <c:pt idx="0">
                  <c:v>69300000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F3-46E0-B610-2331D5F65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700432"/>
        <c:axId val="148270084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LargeSignal FoM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gradFill flip="none" rotWithShape="1">
                      <a:gsLst>
                        <a:gs pos="0">
                          <a:schemeClr val="accent2">
                            <a:lumMod val="40000"/>
                            <a:lumOff val="60000"/>
                          </a:schemeClr>
                        </a:gs>
                        <a:gs pos="46000">
                          <a:schemeClr val="accent2">
                            <a:lumMod val="95000"/>
                            <a:lumOff val="5000"/>
                          </a:schemeClr>
                        </a:gs>
                        <a:gs pos="100000">
                          <a:schemeClr val="accent2">
                            <a:lumMod val="60000"/>
                          </a:schemeClr>
                        </a:gs>
                      </a:gsLst>
                      <a:path path="circle">
                        <a:fillToRect l="50000" t="130000" r="50000" b="-30000"/>
                      </a:path>
                      <a:tileRect/>
                    </a:gra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Overview!$M$3:$M$101</c15:sqref>
                        </c15:formulaRef>
                      </c:ext>
                    </c:extLst>
                    <c:numCache>
                      <c:formatCode>General</c:formatCode>
                      <c:ptCount val="97"/>
                      <c:pt idx="0">
                        <c:v>100</c:v>
                      </c:pt>
                      <c:pt idx="1">
                        <c:v>100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20</c:v>
                      </c:pt>
                      <c:pt idx="5">
                        <c:v>40</c:v>
                      </c:pt>
                      <c:pt idx="6">
                        <c:v>100</c:v>
                      </c:pt>
                      <c:pt idx="7">
                        <c:v>100</c:v>
                      </c:pt>
                      <c:pt idx="8">
                        <c:v>100</c:v>
                      </c:pt>
                      <c:pt idx="9">
                        <c:v>100</c:v>
                      </c:pt>
                      <c:pt idx="10">
                        <c:v>16</c:v>
                      </c:pt>
                      <c:pt idx="11">
                        <c:v>130</c:v>
                      </c:pt>
                      <c:pt idx="12">
                        <c:v>120</c:v>
                      </c:pt>
                      <c:pt idx="13">
                        <c:v>120</c:v>
                      </c:pt>
                      <c:pt idx="14">
                        <c:v>500</c:v>
                      </c:pt>
                      <c:pt idx="15">
                        <c:v>150</c:v>
                      </c:pt>
                      <c:pt idx="16">
                        <c:v>120</c:v>
                      </c:pt>
                      <c:pt idx="17">
                        <c:v>500</c:v>
                      </c:pt>
                      <c:pt idx="18">
                        <c:v>150</c:v>
                      </c:pt>
                      <c:pt idx="19">
                        <c:v>800</c:v>
                      </c:pt>
                      <c:pt idx="20">
                        <c:v>500</c:v>
                      </c:pt>
                      <c:pt idx="21">
                        <c:v>1000</c:v>
                      </c:pt>
                      <c:pt idx="22">
                        <c:v>500</c:v>
                      </c:pt>
                      <c:pt idx="23">
                        <c:v>560</c:v>
                      </c:pt>
                      <c:pt idx="24">
                        <c:v>150</c:v>
                      </c:pt>
                      <c:pt idx="25">
                        <c:v>1500</c:v>
                      </c:pt>
                      <c:pt idx="26">
                        <c:v>3200</c:v>
                      </c:pt>
                      <c:pt idx="27">
                        <c:v>50000</c:v>
                      </c:pt>
                      <c:pt idx="28">
                        <c:v>100000</c:v>
                      </c:pt>
                      <c:pt idx="29">
                        <c:v>30000</c:v>
                      </c:pt>
                      <c:pt idx="30">
                        <c:v>100000</c:v>
                      </c:pt>
                      <c:pt idx="31">
                        <c:v>45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Overview!$AE$3:$AE$101</c15:sqref>
                        </c15:formulaRef>
                      </c:ext>
                    </c:extLst>
                    <c:numCache>
                      <c:formatCode>0.00E+00</c:formatCode>
                      <c:ptCount val="97"/>
                      <c:pt idx="0">
                        <c:v>250</c:v>
                      </c:pt>
                      <c:pt idx="1">
                        <c:v>25.584795321637429</c:v>
                      </c:pt>
                      <c:pt idx="2">
                        <c:v>2424.242424242424</c:v>
                      </c:pt>
                      <c:pt idx="3">
                        <c:v>8484.8484848484841</c:v>
                      </c:pt>
                      <c:pt idx="4">
                        <c:v>324.6753246753247</c:v>
                      </c:pt>
                      <c:pt idx="6">
                        <c:v>465.27777777777777</c:v>
                      </c:pt>
                      <c:pt idx="7">
                        <c:v>879.66220971147072</c:v>
                      </c:pt>
                      <c:pt idx="8">
                        <c:v>1098.9010989010987</c:v>
                      </c:pt>
                      <c:pt idx="9">
                        <c:v>2846.3203463203467</c:v>
                      </c:pt>
                      <c:pt idx="10">
                        <c:v>2871.7948717948716</c:v>
                      </c:pt>
                      <c:pt idx="11">
                        <c:v>15757.575757575756</c:v>
                      </c:pt>
                      <c:pt idx="12">
                        <c:v>24000</c:v>
                      </c:pt>
                      <c:pt idx="13">
                        <c:v>7450</c:v>
                      </c:pt>
                      <c:pt idx="14">
                        <c:v>77160.493827160491</c:v>
                      </c:pt>
                      <c:pt idx="15">
                        <c:v>172500</c:v>
                      </c:pt>
                      <c:pt idx="16">
                        <c:v>36236.842105263153</c:v>
                      </c:pt>
                      <c:pt idx="17">
                        <c:v>255952.38095238095</c:v>
                      </c:pt>
                      <c:pt idx="18">
                        <c:v>450000</c:v>
                      </c:pt>
                      <c:pt idx="19">
                        <c:v>373626.37362637359</c:v>
                      </c:pt>
                      <c:pt idx="20">
                        <c:v>1810383.2442067734</c:v>
                      </c:pt>
                      <c:pt idx="21">
                        <c:v>256076.38888888891</c:v>
                      </c:pt>
                      <c:pt idx="22">
                        <c:v>7142857.1428571427</c:v>
                      </c:pt>
                      <c:pt idx="23">
                        <c:v>11850393.700787401</c:v>
                      </c:pt>
                      <c:pt idx="24">
                        <c:v>820512.82051282062</c:v>
                      </c:pt>
                      <c:pt idx="25">
                        <c:v>2420424.4031830239</c:v>
                      </c:pt>
                      <c:pt idx="26">
                        <c:v>1400000</c:v>
                      </c:pt>
                      <c:pt idx="27">
                        <c:v>1801801.8018018019</c:v>
                      </c:pt>
                      <c:pt idx="28">
                        <c:v>10476190.476190478</c:v>
                      </c:pt>
                      <c:pt idx="29">
                        <c:v>2547770.7006369429</c:v>
                      </c:pt>
                      <c:pt idx="30">
                        <c:v>2106504.8870913382</c:v>
                      </c:pt>
                      <c:pt idx="31">
                        <c:v>694444.44444444438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20CA-7C48-848E-8E4193ED1C81}"/>
                  </c:ext>
                </c:extLst>
              </c15:ser>
            </c15:filteredScatterSeries>
          </c:ext>
        </c:extLst>
      </c:scatterChart>
      <c:valAx>
        <c:axId val="148270043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600" b="1"/>
                  <a:t>C_Load/pF</a:t>
                </a:r>
                <a:endParaRPr lang="zh-CN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2700848"/>
        <c:crosses val="autoZero"/>
        <c:crossBetween val="midCat"/>
      </c:valAx>
      <c:valAx>
        <c:axId val="1482700848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FoM/Area</a:t>
                </a:r>
                <a:endParaRPr lang="zh-CN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270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5646877077388399"/>
          <c:y val="0.66895858217716664"/>
          <c:w val="0.21722337235947731"/>
          <c:h val="0.1554778700961053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GBW</a:t>
            </a:r>
          </a:p>
          <a:p>
            <a:pPr>
              <a:defRPr/>
            </a:pPr>
            <a:r>
              <a:rPr lang="en-US"/>
              <a:t> vs. Year of Publication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GBW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46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Overview!$B$3:$B$101</c:f>
              <c:numCache>
                <c:formatCode>General</c:formatCode>
                <c:ptCount val="97"/>
                <c:pt idx="0">
                  <c:v>1992</c:v>
                </c:pt>
                <c:pt idx="1">
                  <c:v>1992</c:v>
                </c:pt>
                <c:pt idx="2">
                  <c:v>1994</c:v>
                </c:pt>
                <c:pt idx="3">
                  <c:v>1994</c:v>
                </c:pt>
                <c:pt idx="4">
                  <c:v>1997</c:v>
                </c:pt>
                <c:pt idx="5">
                  <c:v>1999</c:v>
                </c:pt>
                <c:pt idx="6">
                  <c:v>2001</c:v>
                </c:pt>
                <c:pt idx="7">
                  <c:v>2001</c:v>
                </c:pt>
                <c:pt idx="8">
                  <c:v>2001</c:v>
                </c:pt>
                <c:pt idx="9">
                  <c:v>2001</c:v>
                </c:pt>
                <c:pt idx="10">
                  <c:v>2002</c:v>
                </c:pt>
                <c:pt idx="11">
                  <c:v>2002</c:v>
                </c:pt>
                <c:pt idx="12">
                  <c:v>2003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2005</c:v>
                </c:pt>
                <c:pt idx="17">
                  <c:v>2007</c:v>
                </c:pt>
                <c:pt idx="18">
                  <c:v>2011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2015</c:v>
                </c:pt>
                <c:pt idx="25">
                  <c:v>2017</c:v>
                </c:pt>
                <c:pt idx="26">
                  <c:v>2017</c:v>
                </c:pt>
                <c:pt idx="27">
                  <c:v>2020</c:v>
                </c:pt>
                <c:pt idx="28">
                  <c:v>2022</c:v>
                </c:pt>
                <c:pt idx="29">
                  <c:v>2023</c:v>
                </c:pt>
                <c:pt idx="30">
                  <c:v>2023</c:v>
                </c:pt>
                <c:pt idx="31">
                  <c:v>2024</c:v>
                </c:pt>
              </c:numCache>
            </c:numRef>
          </c:xVal>
          <c:yVal>
            <c:numRef>
              <c:f>Overview!$P$3:$P$101</c:f>
              <c:numCache>
                <c:formatCode>General</c:formatCode>
                <c:ptCount val="97"/>
                <c:pt idx="0">
                  <c:v>0.59</c:v>
                </c:pt>
                <c:pt idx="1">
                  <c:v>100</c:v>
                </c:pt>
                <c:pt idx="2">
                  <c:v>0.2</c:v>
                </c:pt>
                <c:pt idx="3">
                  <c:v>0.6</c:v>
                </c:pt>
                <c:pt idx="4">
                  <c:v>1</c:v>
                </c:pt>
                <c:pt idx="5">
                  <c:v>47</c:v>
                </c:pt>
                <c:pt idx="6">
                  <c:v>0.82</c:v>
                </c:pt>
                <c:pt idx="7">
                  <c:v>1.22</c:v>
                </c:pt>
                <c:pt idx="8">
                  <c:v>2.6</c:v>
                </c:pt>
                <c:pt idx="9">
                  <c:v>2.6</c:v>
                </c:pt>
                <c:pt idx="10">
                  <c:v>80</c:v>
                </c:pt>
                <c:pt idx="11">
                  <c:v>2.7</c:v>
                </c:pt>
                <c:pt idx="12">
                  <c:v>7</c:v>
                </c:pt>
                <c:pt idx="13">
                  <c:v>4.5</c:v>
                </c:pt>
                <c:pt idx="14">
                  <c:v>1.9</c:v>
                </c:pt>
                <c:pt idx="15">
                  <c:v>2.85</c:v>
                </c:pt>
                <c:pt idx="16">
                  <c:v>4.5999999999999996</c:v>
                </c:pt>
                <c:pt idx="17">
                  <c:v>1.1000000000000001</c:v>
                </c:pt>
                <c:pt idx="18">
                  <c:v>4.4000000000000004</c:v>
                </c:pt>
                <c:pt idx="19">
                  <c:v>3.6</c:v>
                </c:pt>
                <c:pt idx="20">
                  <c:v>2</c:v>
                </c:pt>
                <c:pt idx="21">
                  <c:v>1.37</c:v>
                </c:pt>
                <c:pt idx="22">
                  <c:v>1.34</c:v>
                </c:pt>
                <c:pt idx="23">
                  <c:v>3.49</c:v>
                </c:pt>
                <c:pt idx="24">
                  <c:v>0.28299999999999997</c:v>
                </c:pt>
                <c:pt idx="25">
                  <c:v>3.46</c:v>
                </c:pt>
                <c:pt idx="26">
                  <c:v>0.52</c:v>
                </c:pt>
                <c:pt idx="27">
                  <c:v>0.46</c:v>
                </c:pt>
                <c:pt idx="28">
                  <c:v>2.1999999999999999E-2</c:v>
                </c:pt>
                <c:pt idx="29">
                  <c:v>0.54</c:v>
                </c:pt>
                <c:pt idx="30">
                  <c:v>0.27</c:v>
                </c:pt>
                <c:pt idx="3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B5-485A-A09C-0ABC05196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700432"/>
        <c:axId val="1482700848"/>
      </c:scatterChart>
      <c:valAx>
        <c:axId val="148270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2700848"/>
        <c:crossesAt val="0.1"/>
        <c:crossBetween val="midCat"/>
      </c:valAx>
      <c:valAx>
        <c:axId val="14827008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GBW/MHz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270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FoM vs. Settling</a:t>
            </a:r>
            <a:r>
              <a:rPr lang="en-US" baseline="0"/>
              <a:t> Time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SmallSignal FoM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46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</a:gra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Overview!$U$3:$U$101</c:f>
              <c:numCache>
                <c:formatCode>General</c:formatCode>
                <c:ptCount val="97"/>
                <c:pt idx="0">
                  <c:v>4.3049999999999997</c:v>
                </c:pt>
                <c:pt idx="1">
                  <c:v>2.6086956521739132E-2</c:v>
                </c:pt>
                <c:pt idx="2">
                  <c:v>2.9</c:v>
                </c:pt>
                <c:pt idx="3">
                  <c:v>1.57</c:v>
                </c:pt>
                <c:pt idx="4">
                  <c:v>0.4</c:v>
                </c:pt>
                <c:pt idx="6">
                  <c:v>3.04</c:v>
                </c:pt>
                <c:pt idx="7">
                  <c:v>1.51</c:v>
                </c:pt>
                <c:pt idx="8">
                  <c:v>0.94500000000000006</c:v>
                </c:pt>
                <c:pt idx="9">
                  <c:v>1.165</c:v>
                </c:pt>
                <c:pt idx="10">
                  <c:v>0.28000000000000003</c:v>
                </c:pt>
                <c:pt idx="12">
                  <c:v>0.49750000000000005</c:v>
                </c:pt>
                <c:pt idx="13">
                  <c:v>0.63500000000000001</c:v>
                </c:pt>
                <c:pt idx="14">
                  <c:v>1.55</c:v>
                </c:pt>
                <c:pt idx="15">
                  <c:v>2.25</c:v>
                </c:pt>
                <c:pt idx="16">
                  <c:v>0.46</c:v>
                </c:pt>
                <c:pt idx="17">
                  <c:v>0.7</c:v>
                </c:pt>
                <c:pt idx="18">
                  <c:v>1.9000000000000001</c:v>
                </c:pt>
                <c:pt idx="19">
                  <c:v>0.7</c:v>
                </c:pt>
                <c:pt idx="20">
                  <c:v>1.25</c:v>
                </c:pt>
                <c:pt idx="21">
                  <c:v>1.28</c:v>
                </c:pt>
                <c:pt idx="22">
                  <c:v>2.5</c:v>
                </c:pt>
                <c:pt idx="23">
                  <c:v>0.9</c:v>
                </c:pt>
                <c:pt idx="24">
                  <c:v>21</c:v>
                </c:pt>
                <c:pt idx="25">
                  <c:v>0.56999999999999995</c:v>
                </c:pt>
                <c:pt idx="26">
                  <c:v>6.9</c:v>
                </c:pt>
                <c:pt idx="27">
                  <c:v>4.62</c:v>
                </c:pt>
                <c:pt idx="28">
                  <c:v>16.8</c:v>
                </c:pt>
                <c:pt idx="29">
                  <c:v>4.91</c:v>
                </c:pt>
                <c:pt idx="30">
                  <c:v>16</c:v>
                </c:pt>
              </c:numCache>
            </c:numRef>
          </c:xVal>
          <c:yVal>
            <c:numRef>
              <c:f>Overview!$AB$3:$AB$101</c:f>
              <c:numCache>
                <c:formatCode>0</c:formatCode>
                <c:ptCount val="97"/>
                <c:pt idx="0">
                  <c:v>147.5</c:v>
                </c:pt>
                <c:pt idx="1">
                  <c:v>131.57894736842104</c:v>
                </c:pt>
                <c:pt idx="2">
                  <c:v>121.2121212121212</c:v>
                </c:pt>
                <c:pt idx="3">
                  <c:v>363.63636363636363</c:v>
                </c:pt>
                <c:pt idx="4">
                  <c:v>14.285714285714286</c:v>
                </c:pt>
                <c:pt idx="5">
                  <c:v>272.463768115942</c:v>
                </c:pt>
                <c:pt idx="6">
                  <c:v>205</c:v>
                </c:pt>
                <c:pt idx="7">
                  <c:v>300.49261083743841</c:v>
                </c:pt>
                <c:pt idx="8">
                  <c:v>384.61538461538458</c:v>
                </c:pt>
                <c:pt idx="9">
                  <c:v>619.04761904761904</c:v>
                </c:pt>
                <c:pt idx="10">
                  <c:v>164.10256410256409</c:v>
                </c:pt>
                <c:pt idx="11">
                  <c:v>1276.3636363636363</c:v>
                </c:pt>
                <c:pt idx="12">
                  <c:v>2545.4545454545455</c:v>
                </c:pt>
                <c:pt idx="13">
                  <c:v>1350</c:v>
                </c:pt>
                <c:pt idx="14">
                  <c:v>2932.0987654320988</c:v>
                </c:pt>
                <c:pt idx="15">
                  <c:v>9500</c:v>
                </c:pt>
                <c:pt idx="16">
                  <c:v>1452.6315789473683</c:v>
                </c:pt>
                <c:pt idx="17">
                  <c:v>5238.0952380952385</c:v>
                </c:pt>
                <c:pt idx="18">
                  <c:v>22000</c:v>
                </c:pt>
                <c:pt idx="19">
                  <c:v>11076.923076923076</c:v>
                </c:pt>
                <c:pt idx="20">
                  <c:v>49019.607843137252</c:v>
                </c:pt>
                <c:pt idx="21">
                  <c:v>9513.8888888888905</c:v>
                </c:pt>
                <c:pt idx="22">
                  <c:v>108064.51612903226</c:v>
                </c:pt>
                <c:pt idx="23">
                  <c:v>153889.76377952757</c:v>
                </c:pt>
                <c:pt idx="24">
                  <c:v>11791.666666666666</c:v>
                </c:pt>
                <c:pt idx="25">
                  <c:v>74568.965517241391</c:v>
                </c:pt>
                <c:pt idx="26">
                  <c:v>27733.333333333336</c:v>
                </c:pt>
                <c:pt idx="27">
                  <c:v>124324.32432432432</c:v>
                </c:pt>
                <c:pt idx="28">
                  <c:v>146666.66666666669</c:v>
                </c:pt>
                <c:pt idx="29">
                  <c:v>85987.261146496836</c:v>
                </c:pt>
                <c:pt idx="30">
                  <c:v>163043.47826086957</c:v>
                </c:pt>
                <c:pt idx="31">
                  <c:v>41666.666666666672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91-47FC-9028-D171525B00D8}"/>
            </c:ext>
          </c:extLst>
        </c:ser>
        <c:ser>
          <c:idx val="1"/>
          <c:order val="1"/>
          <c:tx>
            <c:v>LargeSignal FoM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gradFill flip="none" rotWithShape="1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46000">
                    <a:schemeClr val="accent2">
                      <a:lumMod val="95000"/>
                      <a:lumOff val="5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Overview!$U$3:$U$101</c:f>
              <c:numCache>
                <c:formatCode>General</c:formatCode>
                <c:ptCount val="97"/>
                <c:pt idx="0">
                  <c:v>4.3049999999999997</c:v>
                </c:pt>
                <c:pt idx="1">
                  <c:v>2.6086956521739132E-2</c:v>
                </c:pt>
                <c:pt idx="2">
                  <c:v>2.9</c:v>
                </c:pt>
                <c:pt idx="3">
                  <c:v>1.57</c:v>
                </c:pt>
                <c:pt idx="4">
                  <c:v>0.4</c:v>
                </c:pt>
                <c:pt idx="6">
                  <c:v>3.04</c:v>
                </c:pt>
                <c:pt idx="7">
                  <c:v>1.51</c:v>
                </c:pt>
                <c:pt idx="8">
                  <c:v>0.94500000000000006</c:v>
                </c:pt>
                <c:pt idx="9">
                  <c:v>1.165</c:v>
                </c:pt>
                <c:pt idx="10">
                  <c:v>0.28000000000000003</c:v>
                </c:pt>
                <c:pt idx="12">
                  <c:v>0.49750000000000005</c:v>
                </c:pt>
                <c:pt idx="13">
                  <c:v>0.63500000000000001</c:v>
                </c:pt>
                <c:pt idx="14">
                  <c:v>1.55</c:v>
                </c:pt>
                <c:pt idx="15">
                  <c:v>2.25</c:v>
                </c:pt>
                <c:pt idx="16">
                  <c:v>0.46</c:v>
                </c:pt>
                <c:pt idx="17">
                  <c:v>0.7</c:v>
                </c:pt>
                <c:pt idx="18">
                  <c:v>1.9000000000000001</c:v>
                </c:pt>
                <c:pt idx="19">
                  <c:v>0.7</c:v>
                </c:pt>
                <c:pt idx="20">
                  <c:v>1.25</c:v>
                </c:pt>
                <c:pt idx="21">
                  <c:v>1.28</c:v>
                </c:pt>
                <c:pt idx="22">
                  <c:v>2.5</c:v>
                </c:pt>
                <c:pt idx="23">
                  <c:v>0.9</c:v>
                </c:pt>
                <c:pt idx="24">
                  <c:v>21</c:v>
                </c:pt>
                <c:pt idx="25">
                  <c:v>0.56999999999999995</c:v>
                </c:pt>
                <c:pt idx="26">
                  <c:v>6.9</c:v>
                </c:pt>
                <c:pt idx="27">
                  <c:v>4.62</c:v>
                </c:pt>
                <c:pt idx="28">
                  <c:v>16.8</c:v>
                </c:pt>
                <c:pt idx="29">
                  <c:v>4.91</c:v>
                </c:pt>
                <c:pt idx="30">
                  <c:v>16</c:v>
                </c:pt>
              </c:numCache>
            </c:numRef>
          </c:xVal>
          <c:yVal>
            <c:numRef>
              <c:f>Overview!$AC$3:$AC$101</c:f>
              <c:numCache>
                <c:formatCode>0</c:formatCode>
                <c:ptCount val="97"/>
                <c:pt idx="0">
                  <c:v>57.5</c:v>
                </c:pt>
                <c:pt idx="1">
                  <c:v>46.05263157894737</c:v>
                </c:pt>
                <c:pt idx="2">
                  <c:v>121.2121212121212</c:v>
                </c:pt>
                <c:pt idx="3">
                  <c:v>424.24242424242425</c:v>
                </c:pt>
                <c:pt idx="4">
                  <c:v>71.428571428571431</c:v>
                </c:pt>
                <c:pt idx="5">
                  <c:v>400</c:v>
                </c:pt>
                <c:pt idx="6">
                  <c:v>83.75</c:v>
                </c:pt>
                <c:pt idx="7">
                  <c:v>123.15270935960591</c:v>
                </c:pt>
                <c:pt idx="8">
                  <c:v>153.84615384615384</c:v>
                </c:pt>
                <c:pt idx="9">
                  <c:v>313.09523809523813</c:v>
                </c:pt>
                <c:pt idx="10">
                  <c:v>114.87179487179486</c:v>
                </c:pt>
                <c:pt idx="11">
                  <c:v>472.72727272727269</c:v>
                </c:pt>
                <c:pt idx="12">
                  <c:v>1200</c:v>
                </c:pt>
                <c:pt idx="13">
                  <c:v>447</c:v>
                </c:pt>
                <c:pt idx="14">
                  <c:v>1543.2098765432099</c:v>
                </c:pt>
                <c:pt idx="15">
                  <c:v>3450</c:v>
                </c:pt>
                <c:pt idx="16">
                  <c:v>724.73684210526312</c:v>
                </c:pt>
                <c:pt idx="17">
                  <c:v>6142.8571428571431</c:v>
                </c:pt>
                <c:pt idx="18">
                  <c:v>9000</c:v>
                </c:pt>
                <c:pt idx="19">
                  <c:v>5230.7692307692305</c:v>
                </c:pt>
                <c:pt idx="20">
                  <c:v>15931.372549019607</c:v>
                </c:pt>
                <c:pt idx="21">
                  <c:v>4097.2222222222226</c:v>
                </c:pt>
                <c:pt idx="22">
                  <c:v>50000</c:v>
                </c:pt>
                <c:pt idx="23">
                  <c:v>37921.259842519685</c:v>
                </c:pt>
                <c:pt idx="24">
                  <c:v>1066.6666666666667</c:v>
                </c:pt>
                <c:pt idx="25">
                  <c:v>31465.517241379312</c:v>
                </c:pt>
                <c:pt idx="26">
                  <c:v>11200</c:v>
                </c:pt>
                <c:pt idx="27">
                  <c:v>10810.810810810812</c:v>
                </c:pt>
                <c:pt idx="28">
                  <c:v>29333.333333333336</c:v>
                </c:pt>
                <c:pt idx="29">
                  <c:v>12738.853503184715</c:v>
                </c:pt>
                <c:pt idx="30">
                  <c:v>18115.942028985508</c:v>
                </c:pt>
                <c:pt idx="31">
                  <c:v>31944.444444444442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91-47FC-9028-D171525B0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700432"/>
        <c:axId val="1482700848"/>
      </c:scatterChart>
      <c:valAx>
        <c:axId val="148270043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Tsettle/us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2700848"/>
        <c:crosses val="autoZero"/>
        <c:crossBetween val="midCat"/>
      </c:valAx>
      <c:valAx>
        <c:axId val="14827008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FoM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2700432"/>
        <c:crossesAt val="1.0000000000000002E-2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FoM_S vs. FoM_L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SmallSignal FoM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46000">
                    <a:schemeClr val="accent2">
                      <a:lumMod val="95000"/>
                      <a:lumOff val="5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Overview!$AB$3:$AB$101</c:f>
              <c:numCache>
                <c:formatCode>0</c:formatCode>
                <c:ptCount val="97"/>
                <c:pt idx="0">
                  <c:v>147.5</c:v>
                </c:pt>
                <c:pt idx="1">
                  <c:v>131.57894736842104</c:v>
                </c:pt>
                <c:pt idx="2">
                  <c:v>121.2121212121212</c:v>
                </c:pt>
                <c:pt idx="3">
                  <c:v>363.63636363636363</c:v>
                </c:pt>
                <c:pt idx="4">
                  <c:v>14.285714285714286</c:v>
                </c:pt>
                <c:pt idx="5">
                  <c:v>272.463768115942</c:v>
                </c:pt>
                <c:pt idx="6">
                  <c:v>205</c:v>
                </c:pt>
                <c:pt idx="7">
                  <c:v>300.49261083743841</c:v>
                </c:pt>
                <c:pt idx="8">
                  <c:v>384.61538461538458</c:v>
                </c:pt>
                <c:pt idx="9">
                  <c:v>619.04761904761904</c:v>
                </c:pt>
                <c:pt idx="10">
                  <c:v>164.10256410256409</c:v>
                </c:pt>
                <c:pt idx="11">
                  <c:v>1276.3636363636363</c:v>
                </c:pt>
                <c:pt idx="12">
                  <c:v>2545.4545454545455</c:v>
                </c:pt>
                <c:pt idx="13">
                  <c:v>1350</c:v>
                </c:pt>
                <c:pt idx="14">
                  <c:v>2932.0987654320988</c:v>
                </c:pt>
                <c:pt idx="15">
                  <c:v>9500</c:v>
                </c:pt>
                <c:pt idx="16">
                  <c:v>1452.6315789473683</c:v>
                </c:pt>
                <c:pt idx="17">
                  <c:v>5238.0952380952385</c:v>
                </c:pt>
                <c:pt idx="18">
                  <c:v>22000</c:v>
                </c:pt>
                <c:pt idx="19">
                  <c:v>11076.923076923076</c:v>
                </c:pt>
                <c:pt idx="20">
                  <c:v>49019.607843137252</c:v>
                </c:pt>
                <c:pt idx="21">
                  <c:v>9513.8888888888905</c:v>
                </c:pt>
                <c:pt idx="22">
                  <c:v>108064.51612903226</c:v>
                </c:pt>
                <c:pt idx="23">
                  <c:v>153889.76377952757</c:v>
                </c:pt>
                <c:pt idx="24">
                  <c:v>11791.666666666666</c:v>
                </c:pt>
                <c:pt idx="25">
                  <c:v>74568.965517241391</c:v>
                </c:pt>
                <c:pt idx="26">
                  <c:v>27733.333333333336</c:v>
                </c:pt>
                <c:pt idx="27">
                  <c:v>124324.32432432432</c:v>
                </c:pt>
                <c:pt idx="28">
                  <c:v>146666.66666666669</c:v>
                </c:pt>
                <c:pt idx="29">
                  <c:v>85987.261146496836</c:v>
                </c:pt>
                <c:pt idx="30">
                  <c:v>163043.47826086957</c:v>
                </c:pt>
                <c:pt idx="31">
                  <c:v>41666.666666666672</c:v>
                </c:pt>
              </c:numCache>
            </c:numRef>
          </c:xVal>
          <c:yVal>
            <c:numRef>
              <c:f>Overview!$AC$3:$AC$101</c:f>
              <c:numCache>
                <c:formatCode>0</c:formatCode>
                <c:ptCount val="97"/>
                <c:pt idx="0">
                  <c:v>57.5</c:v>
                </c:pt>
                <c:pt idx="1">
                  <c:v>46.05263157894737</c:v>
                </c:pt>
                <c:pt idx="2">
                  <c:v>121.2121212121212</c:v>
                </c:pt>
                <c:pt idx="3">
                  <c:v>424.24242424242425</c:v>
                </c:pt>
                <c:pt idx="4">
                  <c:v>71.428571428571431</c:v>
                </c:pt>
                <c:pt idx="5">
                  <c:v>400</c:v>
                </c:pt>
                <c:pt idx="6">
                  <c:v>83.75</c:v>
                </c:pt>
                <c:pt idx="7">
                  <c:v>123.15270935960591</c:v>
                </c:pt>
                <c:pt idx="8">
                  <c:v>153.84615384615384</c:v>
                </c:pt>
                <c:pt idx="9">
                  <c:v>313.09523809523813</c:v>
                </c:pt>
                <c:pt idx="10">
                  <c:v>114.87179487179486</c:v>
                </c:pt>
                <c:pt idx="11">
                  <c:v>472.72727272727269</c:v>
                </c:pt>
                <c:pt idx="12">
                  <c:v>1200</c:v>
                </c:pt>
                <c:pt idx="13">
                  <c:v>447</c:v>
                </c:pt>
                <c:pt idx="14">
                  <c:v>1543.2098765432099</c:v>
                </c:pt>
                <c:pt idx="15">
                  <c:v>3450</c:v>
                </c:pt>
                <c:pt idx="16">
                  <c:v>724.73684210526312</c:v>
                </c:pt>
                <c:pt idx="17">
                  <c:v>6142.8571428571431</c:v>
                </c:pt>
                <c:pt idx="18">
                  <c:v>9000</c:v>
                </c:pt>
                <c:pt idx="19">
                  <c:v>5230.7692307692305</c:v>
                </c:pt>
                <c:pt idx="20">
                  <c:v>15931.372549019607</c:v>
                </c:pt>
                <c:pt idx="21">
                  <c:v>4097.2222222222226</c:v>
                </c:pt>
                <c:pt idx="22">
                  <c:v>50000</c:v>
                </c:pt>
                <c:pt idx="23">
                  <c:v>37921.259842519685</c:v>
                </c:pt>
                <c:pt idx="24">
                  <c:v>1066.6666666666667</c:v>
                </c:pt>
                <c:pt idx="25">
                  <c:v>31465.517241379312</c:v>
                </c:pt>
                <c:pt idx="26">
                  <c:v>11200</c:v>
                </c:pt>
                <c:pt idx="27">
                  <c:v>10810.810810810812</c:v>
                </c:pt>
                <c:pt idx="28">
                  <c:v>29333.333333333336</c:v>
                </c:pt>
                <c:pt idx="29">
                  <c:v>12738.853503184715</c:v>
                </c:pt>
                <c:pt idx="30">
                  <c:v>18115.942028985508</c:v>
                </c:pt>
                <c:pt idx="31">
                  <c:v>31944.444444444442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AA-42A6-BB45-E281887F9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700432"/>
        <c:axId val="1482700848"/>
      </c:scatterChart>
      <c:valAx>
        <c:axId val="148270043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FoM_S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2700848"/>
        <c:crosses val="autoZero"/>
        <c:crossBetween val="midCat"/>
      </c:valAx>
      <c:valAx>
        <c:axId val="14827008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FoM_L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270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FoM vs. </a:t>
            </a:r>
            <a:r>
              <a:rPr lang="en-US" altLang="zh-CN"/>
              <a:t>C_LOAD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SmallSignal FoM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46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</a:gra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Overview!$M$3:$M$101</c:f>
              <c:numCache>
                <c:formatCode>General</c:formatCode>
                <c:ptCount val="97"/>
                <c:pt idx="0">
                  <c:v>100</c:v>
                </c:pt>
                <c:pt idx="1">
                  <c:v>100</c:v>
                </c:pt>
                <c:pt idx="2">
                  <c:v>10</c:v>
                </c:pt>
                <c:pt idx="3">
                  <c:v>10</c:v>
                </c:pt>
                <c:pt idx="4">
                  <c:v>20</c:v>
                </c:pt>
                <c:pt idx="5">
                  <c:v>40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16</c:v>
                </c:pt>
                <c:pt idx="11">
                  <c:v>130</c:v>
                </c:pt>
                <c:pt idx="12">
                  <c:v>120</c:v>
                </c:pt>
                <c:pt idx="13">
                  <c:v>120</c:v>
                </c:pt>
                <c:pt idx="14">
                  <c:v>500</c:v>
                </c:pt>
                <c:pt idx="15">
                  <c:v>150</c:v>
                </c:pt>
                <c:pt idx="16">
                  <c:v>120</c:v>
                </c:pt>
                <c:pt idx="17">
                  <c:v>500</c:v>
                </c:pt>
                <c:pt idx="18">
                  <c:v>150</c:v>
                </c:pt>
                <c:pt idx="19">
                  <c:v>800</c:v>
                </c:pt>
                <c:pt idx="20">
                  <c:v>500</c:v>
                </c:pt>
                <c:pt idx="21">
                  <c:v>1000</c:v>
                </c:pt>
                <c:pt idx="22">
                  <c:v>500</c:v>
                </c:pt>
                <c:pt idx="23">
                  <c:v>560</c:v>
                </c:pt>
                <c:pt idx="24">
                  <c:v>150</c:v>
                </c:pt>
                <c:pt idx="25">
                  <c:v>1500</c:v>
                </c:pt>
                <c:pt idx="26">
                  <c:v>3200</c:v>
                </c:pt>
                <c:pt idx="27">
                  <c:v>50000</c:v>
                </c:pt>
                <c:pt idx="28">
                  <c:v>100000</c:v>
                </c:pt>
                <c:pt idx="29">
                  <c:v>30000</c:v>
                </c:pt>
                <c:pt idx="30">
                  <c:v>100000</c:v>
                </c:pt>
                <c:pt idx="31">
                  <c:v>45</c:v>
                </c:pt>
              </c:numCache>
            </c:numRef>
          </c:xVal>
          <c:yVal>
            <c:numRef>
              <c:f>Overview!$AB$3:$AB$101</c:f>
              <c:numCache>
                <c:formatCode>0</c:formatCode>
                <c:ptCount val="97"/>
                <c:pt idx="0">
                  <c:v>147.5</c:v>
                </c:pt>
                <c:pt idx="1">
                  <c:v>131.57894736842104</c:v>
                </c:pt>
                <c:pt idx="2">
                  <c:v>121.2121212121212</c:v>
                </c:pt>
                <c:pt idx="3">
                  <c:v>363.63636363636363</c:v>
                </c:pt>
                <c:pt idx="4">
                  <c:v>14.285714285714286</c:v>
                </c:pt>
                <c:pt idx="5">
                  <c:v>272.463768115942</c:v>
                </c:pt>
                <c:pt idx="6">
                  <c:v>205</c:v>
                </c:pt>
                <c:pt idx="7">
                  <c:v>300.49261083743841</c:v>
                </c:pt>
                <c:pt idx="8">
                  <c:v>384.61538461538458</c:v>
                </c:pt>
                <c:pt idx="9">
                  <c:v>619.04761904761904</c:v>
                </c:pt>
                <c:pt idx="10">
                  <c:v>164.10256410256409</c:v>
                </c:pt>
                <c:pt idx="11">
                  <c:v>1276.3636363636363</c:v>
                </c:pt>
                <c:pt idx="12">
                  <c:v>2545.4545454545455</c:v>
                </c:pt>
                <c:pt idx="13">
                  <c:v>1350</c:v>
                </c:pt>
                <c:pt idx="14">
                  <c:v>2932.0987654320988</c:v>
                </c:pt>
                <c:pt idx="15">
                  <c:v>9500</c:v>
                </c:pt>
                <c:pt idx="16">
                  <c:v>1452.6315789473683</c:v>
                </c:pt>
                <c:pt idx="17">
                  <c:v>5238.0952380952385</c:v>
                </c:pt>
                <c:pt idx="18">
                  <c:v>22000</c:v>
                </c:pt>
                <c:pt idx="19">
                  <c:v>11076.923076923076</c:v>
                </c:pt>
                <c:pt idx="20">
                  <c:v>49019.607843137252</c:v>
                </c:pt>
                <c:pt idx="21">
                  <c:v>9513.8888888888905</c:v>
                </c:pt>
                <c:pt idx="22">
                  <c:v>108064.51612903226</c:v>
                </c:pt>
                <c:pt idx="23">
                  <c:v>153889.76377952757</c:v>
                </c:pt>
                <c:pt idx="24">
                  <c:v>11791.666666666666</c:v>
                </c:pt>
                <c:pt idx="25">
                  <c:v>74568.965517241391</c:v>
                </c:pt>
                <c:pt idx="26">
                  <c:v>27733.333333333336</c:v>
                </c:pt>
                <c:pt idx="27">
                  <c:v>124324.32432432432</c:v>
                </c:pt>
                <c:pt idx="28">
                  <c:v>146666.66666666669</c:v>
                </c:pt>
                <c:pt idx="29">
                  <c:v>85987.261146496836</c:v>
                </c:pt>
                <c:pt idx="30">
                  <c:v>163043.47826086957</c:v>
                </c:pt>
                <c:pt idx="31">
                  <c:v>41666.666666666672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A9-4022-8F59-64547832B80C}"/>
            </c:ext>
          </c:extLst>
        </c:ser>
        <c:ser>
          <c:idx val="1"/>
          <c:order val="1"/>
          <c:tx>
            <c:v>LargeSignal FoM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gradFill flip="none" rotWithShape="1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46000">
                    <a:schemeClr val="accent2">
                      <a:lumMod val="95000"/>
                      <a:lumOff val="5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Overview!$M$3:$M$101</c:f>
              <c:numCache>
                <c:formatCode>General</c:formatCode>
                <c:ptCount val="97"/>
                <c:pt idx="0">
                  <c:v>100</c:v>
                </c:pt>
                <c:pt idx="1">
                  <c:v>100</c:v>
                </c:pt>
                <c:pt idx="2">
                  <c:v>10</c:v>
                </c:pt>
                <c:pt idx="3">
                  <c:v>10</c:v>
                </c:pt>
                <c:pt idx="4">
                  <c:v>20</c:v>
                </c:pt>
                <c:pt idx="5">
                  <c:v>40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16</c:v>
                </c:pt>
                <c:pt idx="11">
                  <c:v>130</c:v>
                </c:pt>
                <c:pt idx="12">
                  <c:v>120</c:v>
                </c:pt>
                <c:pt idx="13">
                  <c:v>120</c:v>
                </c:pt>
                <c:pt idx="14">
                  <c:v>500</c:v>
                </c:pt>
                <c:pt idx="15">
                  <c:v>150</c:v>
                </c:pt>
                <c:pt idx="16">
                  <c:v>120</c:v>
                </c:pt>
                <c:pt idx="17">
                  <c:v>500</c:v>
                </c:pt>
                <c:pt idx="18">
                  <c:v>150</c:v>
                </c:pt>
                <c:pt idx="19">
                  <c:v>800</c:v>
                </c:pt>
                <c:pt idx="20">
                  <c:v>500</c:v>
                </c:pt>
                <c:pt idx="21">
                  <c:v>1000</c:v>
                </c:pt>
                <c:pt idx="22">
                  <c:v>500</c:v>
                </c:pt>
                <c:pt idx="23">
                  <c:v>560</c:v>
                </c:pt>
                <c:pt idx="24">
                  <c:v>150</c:v>
                </c:pt>
                <c:pt idx="25">
                  <c:v>1500</c:v>
                </c:pt>
                <c:pt idx="26">
                  <c:v>3200</c:v>
                </c:pt>
                <c:pt idx="27">
                  <c:v>50000</c:v>
                </c:pt>
                <c:pt idx="28">
                  <c:v>100000</c:v>
                </c:pt>
                <c:pt idx="29">
                  <c:v>30000</c:v>
                </c:pt>
                <c:pt idx="30">
                  <c:v>100000</c:v>
                </c:pt>
                <c:pt idx="31">
                  <c:v>45</c:v>
                </c:pt>
              </c:numCache>
            </c:numRef>
          </c:xVal>
          <c:yVal>
            <c:numRef>
              <c:f>Overview!$AC$3:$AC$101</c:f>
              <c:numCache>
                <c:formatCode>0</c:formatCode>
                <c:ptCount val="97"/>
                <c:pt idx="0">
                  <c:v>57.5</c:v>
                </c:pt>
                <c:pt idx="1">
                  <c:v>46.05263157894737</c:v>
                </c:pt>
                <c:pt idx="2">
                  <c:v>121.2121212121212</c:v>
                </c:pt>
                <c:pt idx="3">
                  <c:v>424.24242424242425</c:v>
                </c:pt>
                <c:pt idx="4">
                  <c:v>71.428571428571431</c:v>
                </c:pt>
                <c:pt idx="5">
                  <c:v>400</c:v>
                </c:pt>
                <c:pt idx="6">
                  <c:v>83.75</c:v>
                </c:pt>
                <c:pt idx="7">
                  <c:v>123.15270935960591</c:v>
                </c:pt>
                <c:pt idx="8">
                  <c:v>153.84615384615384</c:v>
                </c:pt>
                <c:pt idx="9">
                  <c:v>313.09523809523813</c:v>
                </c:pt>
                <c:pt idx="10">
                  <c:v>114.87179487179486</c:v>
                </c:pt>
                <c:pt idx="11">
                  <c:v>472.72727272727269</c:v>
                </c:pt>
                <c:pt idx="12">
                  <c:v>1200</c:v>
                </c:pt>
                <c:pt idx="13">
                  <c:v>447</c:v>
                </c:pt>
                <c:pt idx="14">
                  <c:v>1543.2098765432099</c:v>
                </c:pt>
                <c:pt idx="15">
                  <c:v>3450</c:v>
                </c:pt>
                <c:pt idx="16">
                  <c:v>724.73684210526312</c:v>
                </c:pt>
                <c:pt idx="17">
                  <c:v>6142.8571428571431</c:v>
                </c:pt>
                <c:pt idx="18">
                  <c:v>9000</c:v>
                </c:pt>
                <c:pt idx="19">
                  <c:v>5230.7692307692305</c:v>
                </c:pt>
                <c:pt idx="20">
                  <c:v>15931.372549019607</c:v>
                </c:pt>
                <c:pt idx="21">
                  <c:v>4097.2222222222226</c:v>
                </c:pt>
                <c:pt idx="22">
                  <c:v>50000</c:v>
                </c:pt>
                <c:pt idx="23">
                  <c:v>37921.259842519685</c:v>
                </c:pt>
                <c:pt idx="24">
                  <c:v>1066.6666666666667</c:v>
                </c:pt>
                <c:pt idx="25">
                  <c:v>31465.517241379312</c:v>
                </c:pt>
                <c:pt idx="26">
                  <c:v>11200</c:v>
                </c:pt>
                <c:pt idx="27">
                  <c:v>10810.810810810812</c:v>
                </c:pt>
                <c:pt idx="28">
                  <c:v>29333.333333333336</c:v>
                </c:pt>
                <c:pt idx="29">
                  <c:v>12738.853503184715</c:v>
                </c:pt>
                <c:pt idx="30">
                  <c:v>18115.942028985508</c:v>
                </c:pt>
                <c:pt idx="31">
                  <c:v>31944.444444444442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A9-4022-8F59-64547832B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700432"/>
        <c:axId val="1482700848"/>
      </c:scatterChart>
      <c:valAx>
        <c:axId val="148270043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C_Load/pF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2700848"/>
        <c:crosses val="autoZero"/>
        <c:crossBetween val="midCat"/>
      </c:valAx>
      <c:valAx>
        <c:axId val="14827008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FoM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270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baseline="0"/>
              <a:t>Large Signal </a:t>
            </a:r>
            <a:r>
              <a:rPr lang="en-US" sz="2000" b="1"/>
              <a:t>FoM/Area vs. </a:t>
            </a:r>
            <a:r>
              <a:rPr lang="en-US" altLang="zh-CN" sz="2000" b="1"/>
              <a:t>C_LOAD</a:t>
            </a:r>
            <a:endParaRPr lang="zh-CN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LargeSignal FoM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16"/>
            <c:marker>
              <c:symbol val="square"/>
              <c:size val="9"/>
              <c:spPr>
                <a:solidFill>
                  <a:schemeClr val="tx1">
                    <a:lumMod val="50000"/>
                    <a:lumOff val="50000"/>
                  </a:schemeClr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309A-4E76-8B57-90C246466D66}"/>
              </c:ext>
            </c:extLst>
          </c:dPt>
          <c:dPt>
            <c:idx val="21"/>
            <c:marker>
              <c:symbol val="diamond"/>
              <c:size val="10"/>
              <c:spPr>
                <a:solidFill>
                  <a:schemeClr val="bg1">
                    <a:lumMod val="65000"/>
                  </a:schemeClr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309A-4E76-8B57-90C246466D66}"/>
              </c:ext>
            </c:extLst>
          </c:dPt>
          <c:dPt>
            <c:idx val="25"/>
            <c:marker>
              <c:symbol val="triangle"/>
              <c:size val="10"/>
              <c:spPr>
                <a:solidFill>
                  <a:schemeClr val="bg1">
                    <a:lumMod val="65000"/>
                  </a:schemeClr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309A-4E76-8B57-90C246466D66}"/>
              </c:ext>
            </c:extLst>
          </c:dPt>
          <c:dLbls>
            <c:dLbl>
              <c:idx val="16"/>
              <c:layout>
                <c:manualLayout>
                  <c:x val="-0.19786254291661717"/>
                  <c:y val="-6.1937629257294655E-3"/>
                </c:manualLayout>
              </c:layout>
              <c:tx>
                <c:rich>
                  <a:bodyPr/>
                  <a:lstStyle/>
                  <a:p>
                    <a:r>
                      <a:rPr lang="en-US" altLang="zh-CN"/>
                      <a:t>SMC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309A-4E76-8B57-90C246466D66}"/>
                </c:ext>
              </c:extLst>
            </c:dLbl>
            <c:dLbl>
              <c:idx val="21"/>
              <c:layout>
                <c:manualLayout>
                  <c:x val="7.7108277262467311E-3"/>
                  <c:y val="1.2397872450495678E-2"/>
                </c:manualLayout>
              </c:layout>
              <c:tx>
                <c:rich>
                  <a:bodyPr/>
                  <a:lstStyle/>
                  <a:p>
                    <a:r>
                      <a:rPr lang="en-US" altLang="zh-CN"/>
                      <a:t>AZ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309A-4E76-8B57-90C246466D66}"/>
                </c:ext>
              </c:extLst>
            </c:dLbl>
            <c:dLbl>
              <c:idx val="25"/>
              <c:layout>
                <c:manualLayout>
                  <c:x val="0"/>
                  <c:y val="-4.021843354896768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CN"/>
                      <a:t>AZC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309A-4E76-8B57-90C246466D6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Overview!$M$3:$M$36</c:f>
              <c:numCache>
                <c:formatCode>General</c:formatCode>
                <c:ptCount val="32"/>
                <c:pt idx="0">
                  <c:v>100</c:v>
                </c:pt>
                <c:pt idx="1">
                  <c:v>100</c:v>
                </c:pt>
                <c:pt idx="2">
                  <c:v>10</c:v>
                </c:pt>
                <c:pt idx="3">
                  <c:v>10</c:v>
                </c:pt>
                <c:pt idx="4">
                  <c:v>20</c:v>
                </c:pt>
                <c:pt idx="5">
                  <c:v>40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16</c:v>
                </c:pt>
                <c:pt idx="11">
                  <c:v>130</c:v>
                </c:pt>
                <c:pt idx="12">
                  <c:v>120</c:v>
                </c:pt>
                <c:pt idx="13">
                  <c:v>120</c:v>
                </c:pt>
                <c:pt idx="14">
                  <c:v>500</c:v>
                </c:pt>
                <c:pt idx="15">
                  <c:v>150</c:v>
                </c:pt>
                <c:pt idx="16">
                  <c:v>120</c:v>
                </c:pt>
                <c:pt idx="17">
                  <c:v>500</c:v>
                </c:pt>
                <c:pt idx="18">
                  <c:v>150</c:v>
                </c:pt>
                <c:pt idx="19">
                  <c:v>800</c:v>
                </c:pt>
                <c:pt idx="20">
                  <c:v>500</c:v>
                </c:pt>
                <c:pt idx="21">
                  <c:v>1000</c:v>
                </c:pt>
                <c:pt idx="22">
                  <c:v>500</c:v>
                </c:pt>
                <c:pt idx="23">
                  <c:v>560</c:v>
                </c:pt>
                <c:pt idx="24">
                  <c:v>150</c:v>
                </c:pt>
                <c:pt idx="25">
                  <c:v>1500</c:v>
                </c:pt>
                <c:pt idx="26">
                  <c:v>3200</c:v>
                </c:pt>
                <c:pt idx="27">
                  <c:v>50000</c:v>
                </c:pt>
                <c:pt idx="28">
                  <c:v>100000</c:v>
                </c:pt>
                <c:pt idx="29">
                  <c:v>30000</c:v>
                </c:pt>
                <c:pt idx="30">
                  <c:v>100000</c:v>
                </c:pt>
                <c:pt idx="31">
                  <c:v>45</c:v>
                </c:pt>
              </c:numCache>
            </c:numRef>
          </c:xVal>
          <c:yVal>
            <c:numRef>
              <c:f>Overview!$AE$3:$AE$36</c:f>
              <c:numCache>
                <c:formatCode>0.00E+00</c:formatCode>
                <c:ptCount val="32"/>
                <c:pt idx="0">
                  <c:v>250</c:v>
                </c:pt>
                <c:pt idx="1">
                  <c:v>25.584795321637429</c:v>
                </c:pt>
                <c:pt idx="2">
                  <c:v>2424.242424242424</c:v>
                </c:pt>
                <c:pt idx="3">
                  <c:v>8484.8484848484841</c:v>
                </c:pt>
                <c:pt idx="4">
                  <c:v>324.6753246753247</c:v>
                </c:pt>
                <c:pt idx="6">
                  <c:v>465.27777777777777</c:v>
                </c:pt>
                <c:pt idx="7">
                  <c:v>879.66220971147072</c:v>
                </c:pt>
                <c:pt idx="8">
                  <c:v>1098.9010989010987</c:v>
                </c:pt>
                <c:pt idx="9">
                  <c:v>2846.3203463203467</c:v>
                </c:pt>
                <c:pt idx="10">
                  <c:v>2871.7948717948716</c:v>
                </c:pt>
                <c:pt idx="11">
                  <c:v>15757.575757575756</c:v>
                </c:pt>
                <c:pt idx="12">
                  <c:v>24000</c:v>
                </c:pt>
                <c:pt idx="13">
                  <c:v>7450</c:v>
                </c:pt>
                <c:pt idx="14">
                  <c:v>77160.493827160491</c:v>
                </c:pt>
                <c:pt idx="15">
                  <c:v>172500</c:v>
                </c:pt>
                <c:pt idx="16">
                  <c:v>36236.842105263153</c:v>
                </c:pt>
                <c:pt idx="17">
                  <c:v>255952.38095238095</c:v>
                </c:pt>
                <c:pt idx="18">
                  <c:v>450000</c:v>
                </c:pt>
                <c:pt idx="19">
                  <c:v>373626.37362637359</c:v>
                </c:pt>
                <c:pt idx="20">
                  <c:v>1810383.2442067734</c:v>
                </c:pt>
                <c:pt idx="21">
                  <c:v>256076.38888888891</c:v>
                </c:pt>
                <c:pt idx="22">
                  <c:v>7142857.1428571427</c:v>
                </c:pt>
                <c:pt idx="23">
                  <c:v>11850393.700787401</c:v>
                </c:pt>
                <c:pt idx="24">
                  <c:v>820512.82051282062</c:v>
                </c:pt>
                <c:pt idx="25">
                  <c:v>2420424.4031830239</c:v>
                </c:pt>
                <c:pt idx="26">
                  <c:v>1400000</c:v>
                </c:pt>
                <c:pt idx="27">
                  <c:v>1801801.8018018019</c:v>
                </c:pt>
                <c:pt idx="28">
                  <c:v>10476190.476190478</c:v>
                </c:pt>
                <c:pt idx="29">
                  <c:v>2547770.7006369429</c:v>
                </c:pt>
                <c:pt idx="30">
                  <c:v>2106504.8870913382</c:v>
                </c:pt>
                <c:pt idx="31">
                  <c:v>694444.44444444438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EEE1-4FCD-9400-857D21585950}"/>
            </c:ext>
          </c:extLst>
        </c:ser>
        <c:ser>
          <c:idx val="2"/>
          <c:order val="2"/>
          <c:tx>
            <c:v>SMC_R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1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Overview!#REF!</c:f>
            </c:numRef>
          </c:xVal>
          <c:yVal>
            <c:numRef>
              <c:f>Overview!#REF!</c:f>
              <c:numCache>
                <c:formatCode>0.00E+00</c:formatCode>
                <c:ptCount val="1"/>
                <c:pt idx="0">
                  <c:v>5714285.7142857146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EE1-4FCD-9400-857D21585950}"/>
            </c:ext>
          </c:extLst>
        </c:ser>
        <c:ser>
          <c:idx val="3"/>
          <c:order val="3"/>
          <c:tx>
            <c:v>AFFC_R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1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Overview!#REF!</c:f>
              <c:extLst xmlns:c15="http://schemas.microsoft.com/office/drawing/2012/chart"/>
            </c:numRef>
          </c:xVal>
          <c:yVal>
            <c:numRef>
              <c:f>Overview!#REF!</c:f>
              <c:numCache>
                <c:formatCode>0.00E+00</c:formatCode>
                <c:ptCount val="2"/>
                <c:pt idx="0">
                  <c:v>5357357.1428571427</c:v>
                </c:pt>
                <c:pt idx="1">
                  <c:v>9857142.8571428582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EEE1-4FCD-9400-857D21585950}"/>
            </c:ext>
          </c:extLst>
        </c:ser>
        <c:ser>
          <c:idx val="4"/>
          <c:order val="4"/>
          <c:tx>
            <c:v>AZ_R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Overview!#REF!</c:f>
            </c:numRef>
          </c:xVal>
          <c:yVal>
            <c:numRef>
              <c:f>Overview!#REF!</c:f>
              <c:numCache>
                <c:formatCode>0.00E+00</c:formatCode>
                <c:ptCount val="1"/>
                <c:pt idx="0">
                  <c:v>6751543.2098765438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EE1-4FCD-9400-857D21585950}"/>
            </c:ext>
          </c:extLst>
        </c:ser>
        <c:ser>
          <c:idx val="5"/>
          <c:order val="5"/>
          <c:tx>
            <c:v>AZC_R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Overview!#REF!</c:f>
            </c:numRef>
          </c:xVal>
          <c:yVal>
            <c:numRef>
              <c:f>Overview!#REF!</c:f>
              <c:numCache>
                <c:formatCode>0.00E+00</c:formatCode>
                <c:ptCount val="1"/>
                <c:pt idx="0">
                  <c:v>12000000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EE1-4FCD-9400-857D21585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700432"/>
        <c:axId val="14827008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SmallSignal FoM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3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Pt>
                  <c:idx val="13"/>
                  <c:marker>
                    <c:symbol val="circle"/>
                    <c:size val="8"/>
                    <c:spPr>
                      <a:solidFill>
                        <a:schemeClr val="accent3"/>
                      </a:solidFill>
                      <a:ln w="9525">
                        <a:solidFill>
                          <a:schemeClr val="accent1"/>
                        </a:solidFill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0-EEE1-4FCD-9400-857D21585950}"/>
                    </c:ext>
                  </c:extLst>
                </c:dPt>
                <c:dPt>
                  <c:idx val="16"/>
                  <c:marker>
                    <c:symbol val="square"/>
                    <c:size val="8"/>
                    <c:spPr>
                      <a:solidFill>
                        <a:schemeClr val="accent3"/>
                      </a:solidFill>
                      <a:ln w="9525">
                        <a:solidFill>
                          <a:schemeClr val="accent1"/>
                        </a:solidFill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1-EEE1-4FCD-9400-857D21585950}"/>
                    </c:ext>
                  </c:extLst>
                </c:dPt>
                <c:dPt>
                  <c:idx val="21"/>
                  <c:marker>
                    <c:symbol val="diamond"/>
                    <c:size val="10"/>
                    <c:spPr>
                      <a:solidFill>
                        <a:schemeClr val="accent3"/>
                      </a:solidFill>
                      <a:ln w="9525">
                        <a:solidFill>
                          <a:schemeClr val="accent1"/>
                        </a:solidFill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2-EEE1-4FCD-9400-857D21585950}"/>
                    </c:ext>
                  </c:extLst>
                </c:dPt>
                <c:dPt>
                  <c:idx val="25"/>
                  <c:marker>
                    <c:symbol val="triangle"/>
                    <c:size val="10"/>
                    <c:spPr>
                      <a:solidFill>
                        <a:schemeClr val="accent3"/>
                      </a:solidFill>
                      <a:ln w="9525">
                        <a:solidFill>
                          <a:schemeClr val="accent1"/>
                        </a:solidFill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3-B105-4CEF-B75C-3F49BB7E90CB}"/>
                    </c:ext>
                  </c:extLst>
                </c:dPt>
                <c:dLbls>
                  <c:dLbl>
                    <c:idx val="13"/>
                    <c:layout>
                      <c:manualLayout>
                        <c:x val="0"/>
                        <c:y val="6.8551842330762641E-2"/>
                      </c:manualLayout>
                    </c:layout>
                    <c:tx>
                      <c:rich>
                        <a:bodyPr/>
                        <a:lstStyle/>
                        <a:p>
                          <a:r>
                            <a:rPr lang="en-US" altLang="zh-CN" baseline="0"/>
                            <a:t> AFFC</a:t>
                          </a:r>
                          <a:endParaRPr lang="en-US" altLang="zh-CN"/>
                        </a:p>
                      </c:rich>
                    </c:tx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0-EEE1-4FCD-9400-857D21585950}"/>
                      </c:ext>
                    </c:extLst>
                  </c:dLbl>
                  <c:dLbl>
                    <c:idx val="16"/>
                    <c:layout>
                      <c:manualLayout>
                        <c:x val="2.3556164759606555E-3"/>
                        <c:y val="-2.7420736932304991E-2"/>
                      </c:manualLayout>
                    </c:layout>
                    <c:tx>
                      <c:rich>
                        <a:bodyPr/>
                        <a:lstStyle/>
                        <a:p>
                          <a:r>
                            <a:rPr lang="en-US" altLang="zh-CN"/>
                            <a:t>SMC</a:t>
                          </a:r>
                        </a:p>
                      </c:rich>
                    </c:tx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1-EEE1-4FCD-9400-857D21585950}"/>
                      </c:ext>
                    </c:extLst>
                  </c:dLbl>
                  <c:dLbl>
                    <c:idx val="21"/>
                    <c:layout>
                      <c:manualLayout>
                        <c:x val="-3.7689863615370488E-2"/>
                        <c:y val="7.5407026563838908E-2"/>
                      </c:manualLayout>
                    </c:layout>
                    <c:tx>
                      <c:rich>
                        <a:bodyPr/>
                        <a:lstStyle/>
                        <a:p>
                          <a:r>
                            <a:rPr lang="en-US" altLang="zh-CN"/>
                            <a:t>AZ</a:t>
                          </a:r>
                        </a:p>
                      </c:rich>
                    </c:tx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2-EEE1-4FCD-9400-857D21585950}"/>
                      </c:ext>
                    </c:extLst>
                  </c:dLbl>
                  <c:dLbl>
                    <c:idx val="25"/>
                    <c:layout>
                      <c:manualLayout>
                        <c:x val="9.4224659038424502E-3"/>
                        <c:y val="6.1696658097686374E-2"/>
                      </c:manualLayout>
                    </c:layout>
                    <c:tx>
                      <c:rich>
                        <a:bodyPr/>
                        <a:lstStyle/>
                        <a:p>
                          <a:r>
                            <a:rPr lang="en-US" altLang="zh-CN"/>
                            <a:t>AZC</a:t>
                          </a:r>
                        </a:p>
                      </c:rich>
                    </c:tx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3-B105-4CEF-B75C-3F49BB7E90CB}"/>
                      </c:ext>
                    </c:extLst>
                  </c:dLbl>
                  <c:spPr>
                    <a:solidFill>
                      <a:sysClr val="window" lastClr="FFFFFF"/>
                    </a:solidFill>
                    <a:ln>
                      <a:solidFill>
                        <a:sysClr val="windowText" lastClr="000000">
                          <a:lumMod val="25000"/>
                          <a:lumOff val="75000"/>
                        </a:sys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CN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0"/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Overview!$M$3:$M$36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100</c:v>
                      </c:pt>
                      <c:pt idx="1">
                        <c:v>100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20</c:v>
                      </c:pt>
                      <c:pt idx="5">
                        <c:v>40</c:v>
                      </c:pt>
                      <c:pt idx="6">
                        <c:v>100</c:v>
                      </c:pt>
                      <c:pt idx="7">
                        <c:v>100</c:v>
                      </c:pt>
                      <c:pt idx="8">
                        <c:v>100</c:v>
                      </c:pt>
                      <c:pt idx="9">
                        <c:v>100</c:v>
                      </c:pt>
                      <c:pt idx="10">
                        <c:v>16</c:v>
                      </c:pt>
                      <c:pt idx="11">
                        <c:v>130</c:v>
                      </c:pt>
                      <c:pt idx="12">
                        <c:v>120</c:v>
                      </c:pt>
                      <c:pt idx="13">
                        <c:v>120</c:v>
                      </c:pt>
                      <c:pt idx="14">
                        <c:v>500</c:v>
                      </c:pt>
                      <c:pt idx="15">
                        <c:v>150</c:v>
                      </c:pt>
                      <c:pt idx="16">
                        <c:v>120</c:v>
                      </c:pt>
                      <c:pt idx="17">
                        <c:v>500</c:v>
                      </c:pt>
                      <c:pt idx="18">
                        <c:v>150</c:v>
                      </c:pt>
                      <c:pt idx="19">
                        <c:v>800</c:v>
                      </c:pt>
                      <c:pt idx="20">
                        <c:v>500</c:v>
                      </c:pt>
                      <c:pt idx="21">
                        <c:v>1000</c:v>
                      </c:pt>
                      <c:pt idx="22">
                        <c:v>500</c:v>
                      </c:pt>
                      <c:pt idx="23">
                        <c:v>560</c:v>
                      </c:pt>
                      <c:pt idx="24">
                        <c:v>150</c:v>
                      </c:pt>
                      <c:pt idx="25">
                        <c:v>1500</c:v>
                      </c:pt>
                      <c:pt idx="26">
                        <c:v>3200</c:v>
                      </c:pt>
                      <c:pt idx="27">
                        <c:v>50000</c:v>
                      </c:pt>
                      <c:pt idx="28">
                        <c:v>100000</c:v>
                      </c:pt>
                      <c:pt idx="29">
                        <c:v>30000</c:v>
                      </c:pt>
                      <c:pt idx="30">
                        <c:v>100000</c:v>
                      </c:pt>
                      <c:pt idx="31">
                        <c:v>45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Overview!$AD$3:$AD$36</c15:sqref>
                        </c15:formulaRef>
                      </c:ext>
                    </c:extLst>
                    <c:numCache>
                      <c:formatCode>0.00E+00</c:formatCode>
                      <c:ptCount val="32"/>
                      <c:pt idx="0">
                        <c:v>641.30434782608688</c:v>
                      </c:pt>
                      <c:pt idx="1">
                        <c:v>73.099415204678365</c:v>
                      </c:pt>
                      <c:pt idx="2">
                        <c:v>2424.242424242424</c:v>
                      </c:pt>
                      <c:pt idx="3">
                        <c:v>7272.7272727272721</c:v>
                      </c:pt>
                      <c:pt idx="4">
                        <c:v>64.935064935064943</c:v>
                      </c:pt>
                      <c:pt idx="6">
                        <c:v>1138.8888888888889</c:v>
                      </c:pt>
                      <c:pt idx="7">
                        <c:v>2146.3757916959885</c:v>
                      </c:pt>
                      <c:pt idx="8">
                        <c:v>2747.2527472527468</c:v>
                      </c:pt>
                      <c:pt idx="9">
                        <c:v>5627.7056277056272</c:v>
                      </c:pt>
                      <c:pt idx="10">
                        <c:v>4102.5641025641025</c:v>
                      </c:pt>
                      <c:pt idx="11">
                        <c:v>42545.454545454544</c:v>
                      </c:pt>
                      <c:pt idx="12">
                        <c:v>50909.090909090904</c:v>
                      </c:pt>
                      <c:pt idx="13">
                        <c:v>22500</c:v>
                      </c:pt>
                      <c:pt idx="14">
                        <c:v>146604.93827160494</c:v>
                      </c:pt>
                      <c:pt idx="15">
                        <c:v>475000</c:v>
                      </c:pt>
                      <c:pt idx="16">
                        <c:v>72631.578947368413</c:v>
                      </c:pt>
                      <c:pt idx="17">
                        <c:v>218253.96825396825</c:v>
                      </c:pt>
                      <c:pt idx="18">
                        <c:v>1100000</c:v>
                      </c:pt>
                      <c:pt idx="19">
                        <c:v>791208.7912087912</c:v>
                      </c:pt>
                      <c:pt idx="20">
                        <c:v>5570409.9821746871</c:v>
                      </c:pt>
                      <c:pt idx="21">
                        <c:v>594618.05555555562</c:v>
                      </c:pt>
                      <c:pt idx="22">
                        <c:v>15437788.01843318</c:v>
                      </c:pt>
                      <c:pt idx="23">
                        <c:v>48090551.181102365</c:v>
                      </c:pt>
                      <c:pt idx="24">
                        <c:v>9070512.82051282</c:v>
                      </c:pt>
                      <c:pt idx="25">
                        <c:v>5736074.2705570301</c:v>
                      </c:pt>
                      <c:pt idx="26">
                        <c:v>3466666.666666667</c:v>
                      </c:pt>
                      <c:pt idx="27">
                        <c:v>20720720.72072072</c:v>
                      </c:pt>
                      <c:pt idx="28">
                        <c:v>52380952.380952388</c:v>
                      </c:pt>
                      <c:pt idx="29">
                        <c:v>17197452.229299366</c:v>
                      </c:pt>
                      <c:pt idx="30">
                        <c:v>18958543.983822044</c:v>
                      </c:pt>
                      <c:pt idx="31">
                        <c:v>905797.10144927551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EEE1-4FCD-9400-857D21585950}"/>
                  </c:ext>
                </c:extLst>
              </c15:ser>
            </c15:filteredScatterSeries>
          </c:ext>
        </c:extLst>
      </c:scatterChart>
      <c:valAx>
        <c:axId val="148270043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600" b="1"/>
                  <a:t>C_Load/pF</a:t>
                </a:r>
                <a:endParaRPr lang="zh-CN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2700848"/>
        <c:crosses val="autoZero"/>
        <c:crossBetween val="midCat"/>
      </c:valAx>
      <c:valAx>
        <c:axId val="1482700848"/>
        <c:scaling>
          <c:logBase val="10"/>
          <c:orientation val="minMax"/>
          <c:max val="20000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FoM/Area</a:t>
                </a:r>
                <a:endParaRPr lang="zh-CN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270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6774100986712803"/>
          <c:y val="0.66969703156956228"/>
          <c:w val="0.21008507059914316"/>
          <c:h val="0.1509142139597562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Technology Node</a:t>
            </a:r>
          </a:p>
          <a:p>
            <a:pPr>
              <a:defRPr/>
            </a:pPr>
            <a:r>
              <a:rPr lang="en-US"/>
              <a:t> vs. FOMSA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Fab Tech.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46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Overview!$G$3:$G$101</c:f>
              <c:numCache>
                <c:formatCode>General</c:formatCode>
                <c:ptCount val="97"/>
                <c:pt idx="0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2000</c:v>
                </c:pt>
                <c:pt idx="5">
                  <c:v>600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350</c:v>
                </c:pt>
                <c:pt idx="11">
                  <c:v>350</c:v>
                </c:pt>
                <c:pt idx="12">
                  <c:v>600</c:v>
                </c:pt>
                <c:pt idx="13">
                  <c:v>800</c:v>
                </c:pt>
                <c:pt idx="14">
                  <c:v>350</c:v>
                </c:pt>
                <c:pt idx="15">
                  <c:v>350</c:v>
                </c:pt>
                <c:pt idx="16">
                  <c:v>500</c:v>
                </c:pt>
                <c:pt idx="17">
                  <c:v>500</c:v>
                </c:pt>
                <c:pt idx="18">
                  <c:v>350</c:v>
                </c:pt>
                <c:pt idx="19">
                  <c:v>350</c:v>
                </c:pt>
                <c:pt idx="20">
                  <c:v>65</c:v>
                </c:pt>
                <c:pt idx="21">
                  <c:v>350</c:v>
                </c:pt>
                <c:pt idx="22">
                  <c:v>180</c:v>
                </c:pt>
                <c:pt idx="23">
                  <c:v>130</c:v>
                </c:pt>
                <c:pt idx="24">
                  <c:v>180</c:v>
                </c:pt>
                <c:pt idx="25">
                  <c:v>180</c:v>
                </c:pt>
                <c:pt idx="26">
                  <c:v>65</c:v>
                </c:pt>
                <c:pt idx="27">
                  <c:v>130</c:v>
                </c:pt>
                <c:pt idx="28">
                  <c:v>65</c:v>
                </c:pt>
                <c:pt idx="29">
                  <c:v>55</c:v>
                </c:pt>
                <c:pt idx="30">
                  <c:v>65</c:v>
                </c:pt>
                <c:pt idx="31">
                  <c:v>180</c:v>
                </c:pt>
              </c:numCache>
            </c:numRef>
          </c:xVal>
          <c:yVal>
            <c:numRef>
              <c:f>Overview!$AD$3:$AD$36</c:f>
              <c:numCache>
                <c:formatCode>0.00E+00</c:formatCode>
                <c:ptCount val="32"/>
                <c:pt idx="0">
                  <c:v>641.30434782608688</c:v>
                </c:pt>
                <c:pt idx="1">
                  <c:v>73.099415204678365</c:v>
                </c:pt>
                <c:pt idx="2">
                  <c:v>2424.242424242424</c:v>
                </c:pt>
                <c:pt idx="3">
                  <c:v>7272.7272727272721</c:v>
                </c:pt>
                <c:pt idx="4">
                  <c:v>64.935064935064943</c:v>
                </c:pt>
                <c:pt idx="6">
                  <c:v>1138.8888888888889</c:v>
                </c:pt>
                <c:pt idx="7">
                  <c:v>2146.3757916959885</c:v>
                </c:pt>
                <c:pt idx="8">
                  <c:v>2747.2527472527468</c:v>
                </c:pt>
                <c:pt idx="9">
                  <c:v>5627.7056277056272</c:v>
                </c:pt>
                <c:pt idx="10">
                  <c:v>4102.5641025641025</c:v>
                </c:pt>
                <c:pt idx="11">
                  <c:v>42545.454545454544</c:v>
                </c:pt>
                <c:pt idx="12">
                  <c:v>50909.090909090904</c:v>
                </c:pt>
                <c:pt idx="13">
                  <c:v>22500</c:v>
                </c:pt>
                <c:pt idx="14">
                  <c:v>146604.93827160494</c:v>
                </c:pt>
                <c:pt idx="15">
                  <c:v>475000</c:v>
                </c:pt>
                <c:pt idx="16">
                  <c:v>72631.578947368413</c:v>
                </c:pt>
                <c:pt idx="17">
                  <c:v>218253.96825396825</c:v>
                </c:pt>
                <c:pt idx="18">
                  <c:v>1100000</c:v>
                </c:pt>
                <c:pt idx="19">
                  <c:v>791208.7912087912</c:v>
                </c:pt>
                <c:pt idx="20">
                  <c:v>5570409.9821746871</c:v>
                </c:pt>
                <c:pt idx="21">
                  <c:v>594618.05555555562</c:v>
                </c:pt>
                <c:pt idx="22">
                  <c:v>15437788.01843318</c:v>
                </c:pt>
                <c:pt idx="23">
                  <c:v>48090551.181102365</c:v>
                </c:pt>
                <c:pt idx="24">
                  <c:v>9070512.82051282</c:v>
                </c:pt>
                <c:pt idx="25">
                  <c:v>5736074.2705570301</c:v>
                </c:pt>
                <c:pt idx="26">
                  <c:v>3466666.666666667</c:v>
                </c:pt>
                <c:pt idx="27">
                  <c:v>20720720.72072072</c:v>
                </c:pt>
                <c:pt idx="28">
                  <c:v>52380952.380952388</c:v>
                </c:pt>
                <c:pt idx="29">
                  <c:v>17197452.229299366</c:v>
                </c:pt>
                <c:pt idx="30">
                  <c:v>18958543.983822044</c:v>
                </c:pt>
                <c:pt idx="31">
                  <c:v>905797.10144927551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CE-43D9-887F-4B3EFFDB7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700432"/>
        <c:axId val="1482700848"/>
      </c:scatterChart>
      <c:valAx>
        <c:axId val="1482700432"/>
        <c:scaling>
          <c:orientation val="maxMin"/>
          <c:max val="80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Tech.</a:t>
                </a:r>
                <a:r>
                  <a:rPr lang="en-US" altLang="zh-CN" baseline="0"/>
                  <a:t> 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2700848"/>
        <c:crosses val="autoZero"/>
        <c:crossBetween val="midCat"/>
      </c:valAx>
      <c:valAx>
        <c:axId val="1482700848"/>
        <c:scaling>
          <c:logBase val="10"/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FOMSA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270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Technology Node</a:t>
            </a:r>
          </a:p>
          <a:p>
            <a:pPr>
              <a:defRPr/>
            </a:pPr>
            <a:r>
              <a:rPr lang="en-US"/>
              <a:t> vs. FOMS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Fab Tech.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46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Overview!$G$3:$G$101</c:f>
              <c:numCache>
                <c:formatCode>General</c:formatCode>
                <c:ptCount val="97"/>
                <c:pt idx="0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2000</c:v>
                </c:pt>
                <c:pt idx="5">
                  <c:v>600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350</c:v>
                </c:pt>
                <c:pt idx="11">
                  <c:v>350</c:v>
                </c:pt>
                <c:pt idx="12">
                  <c:v>600</c:v>
                </c:pt>
                <c:pt idx="13">
                  <c:v>800</c:v>
                </c:pt>
                <c:pt idx="14">
                  <c:v>350</c:v>
                </c:pt>
                <c:pt idx="15">
                  <c:v>350</c:v>
                </c:pt>
                <c:pt idx="16">
                  <c:v>500</c:v>
                </c:pt>
                <c:pt idx="17">
                  <c:v>500</c:v>
                </c:pt>
                <c:pt idx="18">
                  <c:v>350</c:v>
                </c:pt>
                <c:pt idx="19">
                  <c:v>350</c:v>
                </c:pt>
                <c:pt idx="20">
                  <c:v>65</c:v>
                </c:pt>
                <c:pt idx="21">
                  <c:v>350</c:v>
                </c:pt>
                <c:pt idx="22">
                  <c:v>180</c:v>
                </c:pt>
                <c:pt idx="23">
                  <c:v>130</c:v>
                </c:pt>
                <c:pt idx="24">
                  <c:v>180</c:v>
                </c:pt>
                <c:pt idx="25">
                  <c:v>180</c:v>
                </c:pt>
                <c:pt idx="26">
                  <c:v>65</c:v>
                </c:pt>
                <c:pt idx="27">
                  <c:v>130</c:v>
                </c:pt>
                <c:pt idx="28">
                  <c:v>65</c:v>
                </c:pt>
                <c:pt idx="29">
                  <c:v>55</c:v>
                </c:pt>
                <c:pt idx="30">
                  <c:v>65</c:v>
                </c:pt>
                <c:pt idx="31">
                  <c:v>180</c:v>
                </c:pt>
              </c:numCache>
            </c:numRef>
          </c:xVal>
          <c:yVal>
            <c:numRef>
              <c:f>Overview!$AB$3:$AB$36</c:f>
              <c:numCache>
                <c:formatCode>0</c:formatCode>
                <c:ptCount val="32"/>
                <c:pt idx="0">
                  <c:v>147.5</c:v>
                </c:pt>
                <c:pt idx="1">
                  <c:v>131.57894736842104</c:v>
                </c:pt>
                <c:pt idx="2">
                  <c:v>121.2121212121212</c:v>
                </c:pt>
                <c:pt idx="3">
                  <c:v>363.63636363636363</c:v>
                </c:pt>
                <c:pt idx="4">
                  <c:v>14.285714285714286</c:v>
                </c:pt>
                <c:pt idx="5">
                  <c:v>272.463768115942</c:v>
                </c:pt>
                <c:pt idx="6">
                  <c:v>205</c:v>
                </c:pt>
                <c:pt idx="7">
                  <c:v>300.49261083743841</c:v>
                </c:pt>
                <c:pt idx="8">
                  <c:v>384.61538461538458</c:v>
                </c:pt>
                <c:pt idx="9">
                  <c:v>619.04761904761904</c:v>
                </c:pt>
                <c:pt idx="10">
                  <c:v>164.10256410256409</c:v>
                </c:pt>
                <c:pt idx="11">
                  <c:v>1276.3636363636363</c:v>
                </c:pt>
                <c:pt idx="12">
                  <c:v>2545.4545454545455</c:v>
                </c:pt>
                <c:pt idx="13">
                  <c:v>1350</c:v>
                </c:pt>
                <c:pt idx="14">
                  <c:v>2932.0987654320988</c:v>
                </c:pt>
                <c:pt idx="15">
                  <c:v>9500</c:v>
                </c:pt>
                <c:pt idx="16">
                  <c:v>1452.6315789473683</c:v>
                </c:pt>
                <c:pt idx="17">
                  <c:v>5238.0952380952385</c:v>
                </c:pt>
                <c:pt idx="18">
                  <c:v>22000</c:v>
                </c:pt>
                <c:pt idx="19">
                  <c:v>11076.923076923076</c:v>
                </c:pt>
                <c:pt idx="20">
                  <c:v>49019.607843137252</c:v>
                </c:pt>
                <c:pt idx="21">
                  <c:v>9513.8888888888905</c:v>
                </c:pt>
                <c:pt idx="22">
                  <c:v>108064.51612903226</c:v>
                </c:pt>
                <c:pt idx="23">
                  <c:v>153889.76377952757</c:v>
                </c:pt>
                <c:pt idx="24">
                  <c:v>11791.666666666666</c:v>
                </c:pt>
                <c:pt idx="25">
                  <c:v>74568.965517241391</c:v>
                </c:pt>
                <c:pt idx="26">
                  <c:v>27733.333333333336</c:v>
                </c:pt>
                <c:pt idx="27">
                  <c:v>124324.32432432432</c:v>
                </c:pt>
                <c:pt idx="28">
                  <c:v>146666.66666666669</c:v>
                </c:pt>
                <c:pt idx="29">
                  <c:v>85987.261146496836</c:v>
                </c:pt>
                <c:pt idx="30">
                  <c:v>163043.47826086957</c:v>
                </c:pt>
                <c:pt idx="31">
                  <c:v>41666.666666666672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05-4DC7-B8E4-35DC0D971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700432"/>
        <c:axId val="1482700848"/>
      </c:scatterChart>
      <c:valAx>
        <c:axId val="1482700432"/>
        <c:scaling>
          <c:orientation val="maxMin"/>
          <c:max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Tech.</a:t>
                </a:r>
                <a:r>
                  <a:rPr lang="en-US" altLang="zh-CN" baseline="0"/>
                  <a:t> 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2700848"/>
        <c:crosses val="autoZero"/>
        <c:crossBetween val="midCat"/>
      </c:valAx>
      <c:valAx>
        <c:axId val="1482700848"/>
        <c:scaling>
          <c:logBase val="10"/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FOMS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270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Technology Node</a:t>
            </a:r>
          </a:p>
          <a:p>
            <a:pPr>
              <a:defRPr/>
            </a:pPr>
            <a:r>
              <a:rPr lang="en-US"/>
              <a:t> vs. Area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Fab Tech.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46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Overview!$G$3:$G$101</c:f>
              <c:numCache>
                <c:formatCode>General</c:formatCode>
                <c:ptCount val="97"/>
                <c:pt idx="0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2000</c:v>
                </c:pt>
                <c:pt idx="5">
                  <c:v>600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350</c:v>
                </c:pt>
                <c:pt idx="11">
                  <c:v>350</c:v>
                </c:pt>
                <c:pt idx="12">
                  <c:v>600</c:v>
                </c:pt>
                <c:pt idx="13">
                  <c:v>800</c:v>
                </c:pt>
                <c:pt idx="14">
                  <c:v>350</c:v>
                </c:pt>
                <c:pt idx="15">
                  <c:v>350</c:v>
                </c:pt>
                <c:pt idx="16">
                  <c:v>500</c:v>
                </c:pt>
                <c:pt idx="17">
                  <c:v>500</c:v>
                </c:pt>
                <c:pt idx="18">
                  <c:v>350</c:v>
                </c:pt>
                <c:pt idx="19">
                  <c:v>350</c:v>
                </c:pt>
                <c:pt idx="20">
                  <c:v>65</c:v>
                </c:pt>
                <c:pt idx="21">
                  <c:v>350</c:v>
                </c:pt>
                <c:pt idx="22">
                  <c:v>180</c:v>
                </c:pt>
                <c:pt idx="23">
                  <c:v>130</c:v>
                </c:pt>
                <c:pt idx="24">
                  <c:v>180</c:v>
                </c:pt>
                <c:pt idx="25">
                  <c:v>180</c:v>
                </c:pt>
                <c:pt idx="26">
                  <c:v>65</c:v>
                </c:pt>
                <c:pt idx="27">
                  <c:v>130</c:v>
                </c:pt>
                <c:pt idx="28">
                  <c:v>65</c:v>
                </c:pt>
                <c:pt idx="29">
                  <c:v>55</c:v>
                </c:pt>
                <c:pt idx="30">
                  <c:v>65</c:v>
                </c:pt>
                <c:pt idx="31">
                  <c:v>180</c:v>
                </c:pt>
              </c:numCache>
            </c:numRef>
          </c:xVal>
          <c:yVal>
            <c:numRef>
              <c:f>Overview!$Y$3:$Y$36</c:f>
              <c:numCache>
                <c:formatCode>0.00E+00</c:formatCode>
                <c:ptCount val="32"/>
                <c:pt idx="0">
                  <c:v>0.23</c:v>
                </c:pt>
                <c:pt idx="1">
                  <c:v>1.7999999999999998</c:v>
                </c:pt>
                <c:pt idx="2">
                  <c:v>0.05</c:v>
                </c:pt>
                <c:pt idx="3">
                  <c:v>0.05</c:v>
                </c:pt>
                <c:pt idx="4">
                  <c:v>0.22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0.14000000000000001</c:v>
                </c:pt>
                <c:pt idx="9">
                  <c:v>0.11</c:v>
                </c:pt>
                <c:pt idx="10">
                  <c:v>0.04</c:v>
                </c:pt>
                <c:pt idx="11">
                  <c:v>0.03</c:v>
                </c:pt>
                <c:pt idx="12">
                  <c:v>0.05</c:v>
                </c:pt>
                <c:pt idx="13">
                  <c:v>0.06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2.4E-2</c:v>
                </c:pt>
                <c:pt idx="18">
                  <c:v>0.02</c:v>
                </c:pt>
                <c:pt idx="19">
                  <c:v>1.4E-2</c:v>
                </c:pt>
                <c:pt idx="20">
                  <c:v>8.8000000000000005E-3</c:v>
                </c:pt>
                <c:pt idx="21">
                  <c:v>1.6E-2</c:v>
                </c:pt>
                <c:pt idx="22">
                  <c:v>7.0000000000000001E-3</c:v>
                </c:pt>
                <c:pt idx="23">
                  <c:v>3.2000000000000002E-3</c:v>
                </c:pt>
                <c:pt idx="24">
                  <c:v>1.2999999999999999E-3</c:v>
                </c:pt>
                <c:pt idx="25">
                  <c:v>1.2999999999999999E-2</c:v>
                </c:pt>
                <c:pt idx="26">
                  <c:v>8.0000000000000002E-3</c:v>
                </c:pt>
                <c:pt idx="27">
                  <c:v>6.0000000000000001E-3</c:v>
                </c:pt>
                <c:pt idx="28">
                  <c:v>2.8E-3</c:v>
                </c:pt>
                <c:pt idx="29">
                  <c:v>5.0000000000000001E-3</c:v>
                </c:pt>
                <c:pt idx="30">
                  <c:v>8.6E-3</c:v>
                </c:pt>
                <c:pt idx="31">
                  <c:v>4.5999999999999999E-2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42-4AFF-82A5-0743C6D0C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700432"/>
        <c:axId val="1482700848"/>
      </c:scatterChart>
      <c:valAx>
        <c:axId val="1482700432"/>
        <c:scaling>
          <c:orientation val="maxMin"/>
          <c:max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Tech.</a:t>
                </a:r>
                <a:r>
                  <a:rPr lang="en-US" altLang="zh-CN" baseline="0"/>
                  <a:t> 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2700848"/>
        <c:crosses val="autoZero"/>
        <c:crossBetween val="midCat"/>
      </c:valAx>
      <c:valAx>
        <c:axId val="1482700848"/>
        <c:scaling>
          <c:logBase val="10"/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Area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270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等线" panose="02010600030101010101" pitchFamily="2" charset="-122"/>
              </a:rPr>
              <a:t>GBW</a:t>
            </a: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等线" panose="02010600030101010101" pitchFamily="2" charset="-122"/>
              </a:rPr>
              <a:t> 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等线" panose="02010600030101010101" pitchFamily="2" charset="-122"/>
              </a:rPr>
              <a:t>Distribution</a:t>
            </a:r>
            <a:endPara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等线" panose="02010600030101010101" pitchFamily="2" charset="-122"/>
            </a:endParaRPr>
          </a:p>
        </cx:rich>
      </cx:tx>
    </cx:title>
    <cx:plotArea>
      <cx:plotAreaRegion>
        <cx:series layoutId="clusteredColumn" uniqueId="{2BE19265-94FC-564C-B7C6-08166C2E15EE}">
          <cx:tx>
            <cx:txData>
              <cx:f/>
              <cx:v>GBW</cx:v>
            </cx:txData>
          </cx:tx>
          <cx:spPr>
            <a:gradFill flip="none" rotWithShape="1">
              <a:gsLst>
                <a:gs pos="0">
                  <a:schemeClr val="accent3">
                    <a:lumMod val="40000"/>
                    <a:lumOff val="60000"/>
                  </a:schemeClr>
                </a:gs>
                <a:gs pos="46000">
                  <a:schemeClr val="accent3">
                    <a:lumMod val="95000"/>
                    <a:lumOff val="5000"/>
                  </a:schemeClr>
                </a:gs>
                <a:gs pos="100000">
                  <a:schemeClr val="accent3">
                    <a:lumMod val="60000"/>
                  </a:schemeClr>
                </a:gs>
              </a:gsLst>
              <a:path path="circle">
                <a:fillToRect l="50000" t="130000" r="50000" b="-30000"/>
              </a:path>
              <a:tileRect/>
            </a:gradFill>
          </cx:spPr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zh-CN" altLang="en-US" sz="1200"/>
              </a:p>
            </cx:txPr>
            <cx:visibility seriesName="0" categoryName="0" value="1"/>
          </cx:dataLabels>
          <cx:dataId val="0"/>
          <cx:layoutPr>
            <cx:binning intervalClosed="r" overflow="10">
              <cx:binSize val="1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/>
                </a:pPr>
                <a:r>
                  <a:rPr lang="en-US" altLang="zh-CN" sz="12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  <a:ea typeface="等线" panose="02010600030101010101" pitchFamily="2" charset="-122"/>
                  </a:rPr>
                  <a:t>GBW/MHz</a:t>
                </a:r>
                <a:endParaRPr lang="zh-CN" altLang="en-US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rich>
          </cx:tx>
        </cx:title>
        <cx:majorGridlines/>
        <cx:majorTickMarks type="out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zh-CN" altLang="en-US" sz="1200"/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/>
                </a:pPr>
                <a:r>
                  <a:rPr lang="en-US" altLang="zh-CN" sz="12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  <a:ea typeface="等线" panose="02010600030101010101" pitchFamily="2" charset="-122"/>
                  </a:rPr>
                  <a:t>Count</a:t>
                </a:r>
                <a:endParaRPr lang="zh-CN" altLang="en-US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rich>
          </cx:tx>
        </cx:title>
        <cx:majorGridlines/>
        <cx:majorTickMarks type="out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zh-CN" altLang="en-US" sz="1200"/>
          </a:p>
        </cx:txPr>
      </cx:axis>
    </cx:plotArea>
  </cx:chart>
  <cx:spPr>
    <a:ln w="19050"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openxmlformats.org/officeDocument/2006/relationships/chart" Target="../charts/chart11.xml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12" Type="http://schemas.openxmlformats.org/officeDocument/2006/relationships/chart" Target="../charts/chart10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chart" Target="../charts/chart9.xml"/><Relationship Id="rId5" Type="http://schemas.openxmlformats.org/officeDocument/2006/relationships/chart" Target="../charts/chart4.xml"/><Relationship Id="rId10" Type="http://schemas.openxmlformats.org/officeDocument/2006/relationships/chart" Target="../charts/chart8.xml"/><Relationship Id="rId4" Type="http://schemas.microsoft.com/office/2014/relationships/chartEx" Target="../charts/chartEx1.xml"/><Relationship Id="rId9" Type="http://schemas.openxmlformats.org/officeDocument/2006/relationships/chart" Target="../charts/chart7.xml"/><Relationship Id="rId1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31751</xdr:colOff>
      <xdr:row>2</xdr:row>
      <xdr:rowOff>9523</xdr:rowOff>
    </xdr:from>
    <xdr:to>
      <xdr:col>9</xdr:col>
      <xdr:colOff>646547</xdr:colOff>
      <xdr:row>22</xdr:row>
      <xdr:rowOff>161635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B7FA8F9-FBA2-4D7B-9921-CB4372FF42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24</xdr:row>
      <xdr:rowOff>0</xdr:rowOff>
    </xdr:from>
    <xdr:to>
      <xdr:col>9</xdr:col>
      <xdr:colOff>647700</xdr:colOff>
      <xdr:row>44</xdr:row>
      <xdr:rowOff>149225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C7EC289-CBF4-4EE1-A18C-7429F03252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637584</xdr:colOff>
      <xdr:row>15</xdr:row>
      <xdr:rowOff>19293</xdr:rowOff>
    </xdr:from>
    <xdr:to>
      <xdr:col>10</xdr:col>
      <xdr:colOff>29639</xdr:colOff>
      <xdr:row>16</xdr:row>
      <xdr:rowOff>155886</xdr:rowOff>
    </xdr:to>
    <xdr:sp macro="" textlink="">
      <xdr:nvSpPr>
        <xdr:cNvPr id="10" name="文本框 8">
          <a:extLst>
            <a:ext uri="{FF2B5EF4-FFF2-40B4-BE49-F238E27FC236}">
              <a16:creationId xmlns:a16="http://schemas.microsoft.com/office/drawing/2014/main" id="{CC3BDB01-2384-445A-B4CA-F5CDE2630E0C}"/>
            </a:ext>
          </a:extLst>
        </xdr:cNvPr>
        <xdr:cNvSpPr txBox="1"/>
      </xdr:nvSpPr>
      <xdr:spPr>
        <a:xfrm>
          <a:off x="6017766" y="2703611"/>
          <a:ext cx="737100" cy="3155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400" b="1">
              <a:solidFill>
                <a:srgbClr val="00B050"/>
              </a:solidFill>
            </a:rPr>
            <a:t>NMC</a:t>
          </a:r>
          <a:endParaRPr lang="zh-CN" altLang="en-US" sz="1400" b="1">
            <a:solidFill>
              <a:srgbClr val="00B050"/>
            </a:solidFill>
          </a:endParaRPr>
        </a:p>
      </xdr:txBody>
    </xdr:sp>
    <xdr:clientData/>
  </xdr:twoCellAnchor>
  <xdr:twoCellAnchor>
    <xdr:from>
      <xdr:col>3</xdr:col>
      <xdr:colOff>335470</xdr:colOff>
      <xdr:row>12</xdr:row>
      <xdr:rowOff>21215</xdr:rowOff>
    </xdr:from>
    <xdr:to>
      <xdr:col>4</xdr:col>
      <xdr:colOff>400047</xdr:colOff>
      <xdr:row>13</xdr:row>
      <xdr:rowOff>147304</xdr:rowOff>
    </xdr:to>
    <xdr:sp macro="" textlink="">
      <xdr:nvSpPr>
        <xdr:cNvPr id="11" name="文本框 8">
          <a:extLst>
            <a:ext uri="{FF2B5EF4-FFF2-40B4-BE49-F238E27FC236}">
              <a16:creationId xmlns:a16="http://schemas.microsoft.com/office/drawing/2014/main" id="{247D1101-A98A-44E4-AD5D-82A91AF5044F}"/>
            </a:ext>
          </a:extLst>
        </xdr:cNvPr>
        <xdr:cNvSpPr txBox="1"/>
      </xdr:nvSpPr>
      <xdr:spPr>
        <a:xfrm>
          <a:off x="2353038" y="2168670"/>
          <a:ext cx="737100" cy="3050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400" b="1">
              <a:solidFill>
                <a:sysClr val="windowText" lastClr="000000"/>
              </a:solidFill>
            </a:rPr>
            <a:t>HNMC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565482</xdr:colOff>
      <xdr:row>13</xdr:row>
      <xdr:rowOff>94696</xdr:rowOff>
    </xdr:from>
    <xdr:to>
      <xdr:col>4</xdr:col>
      <xdr:colOff>17257</xdr:colOff>
      <xdr:row>14</xdr:row>
      <xdr:rowOff>175760</xdr:rowOff>
    </xdr:to>
    <xdr:cxnSp macro="">
      <xdr:nvCxnSpPr>
        <xdr:cNvPr id="13" name="连接符: 曲线 12">
          <a:extLst>
            <a:ext uri="{FF2B5EF4-FFF2-40B4-BE49-F238E27FC236}">
              <a16:creationId xmlns:a16="http://schemas.microsoft.com/office/drawing/2014/main" id="{40456749-4873-4CD1-AEF5-5188EB6E0241}"/>
            </a:ext>
          </a:extLst>
        </xdr:cNvPr>
        <xdr:cNvCxnSpPr/>
      </xdr:nvCxnSpPr>
      <xdr:spPr>
        <a:xfrm rot="16200000" flipH="1">
          <a:off x="2515189" y="2488966"/>
          <a:ext cx="260019" cy="124298"/>
        </a:xfrm>
        <a:prstGeom prst="curvedConnector3">
          <a:avLst>
            <a:gd name="adj1" fmla="val 13542"/>
          </a:avLst>
        </a:prstGeom>
        <a:ln w="9525"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602389</xdr:colOff>
      <xdr:row>10</xdr:row>
      <xdr:rowOff>86171</xdr:rowOff>
    </xdr:from>
    <xdr:to>
      <xdr:col>5</xdr:col>
      <xdr:colOff>460499</xdr:colOff>
      <xdr:row>12</xdr:row>
      <xdr:rowOff>43809</xdr:rowOff>
    </xdr:to>
    <xdr:sp macro="" textlink="">
      <xdr:nvSpPr>
        <xdr:cNvPr id="19" name="文本框 8">
          <a:extLst>
            <a:ext uri="{FF2B5EF4-FFF2-40B4-BE49-F238E27FC236}">
              <a16:creationId xmlns:a16="http://schemas.microsoft.com/office/drawing/2014/main" id="{74DF62EB-ED9E-409B-A3CA-A28B9AC8A51A}"/>
            </a:ext>
          </a:extLst>
        </xdr:cNvPr>
        <xdr:cNvSpPr txBox="1"/>
      </xdr:nvSpPr>
      <xdr:spPr>
        <a:xfrm>
          <a:off x="3292480" y="1875716"/>
          <a:ext cx="530633" cy="3155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400" b="1">
              <a:solidFill>
                <a:sysClr val="windowText" lastClr="000000"/>
              </a:solidFill>
            </a:rPr>
            <a:t>PFC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172236</xdr:colOff>
      <xdr:row>11</xdr:row>
      <xdr:rowOff>165356</xdr:rowOff>
    </xdr:from>
    <xdr:to>
      <xdr:col>5</xdr:col>
      <xdr:colOff>309737</xdr:colOff>
      <xdr:row>13</xdr:row>
      <xdr:rowOff>68082</xdr:rowOff>
    </xdr:to>
    <xdr:cxnSp macro="">
      <xdr:nvCxnSpPr>
        <xdr:cNvPr id="20" name="连接符: 曲线 19">
          <a:extLst>
            <a:ext uri="{FF2B5EF4-FFF2-40B4-BE49-F238E27FC236}">
              <a16:creationId xmlns:a16="http://schemas.microsoft.com/office/drawing/2014/main" id="{08C46753-576E-4DCA-9B29-9970AB31D1AB}"/>
            </a:ext>
          </a:extLst>
        </xdr:cNvPr>
        <xdr:cNvCxnSpPr/>
      </xdr:nvCxnSpPr>
      <xdr:spPr>
        <a:xfrm rot="16200000" flipH="1">
          <a:off x="3473283" y="2195423"/>
          <a:ext cx="260635" cy="137501"/>
        </a:xfrm>
        <a:prstGeom prst="curvedConnector3">
          <a:avLst>
            <a:gd name="adj1" fmla="val 13542"/>
          </a:avLst>
        </a:prstGeom>
        <a:ln w="9525"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27021</xdr:colOff>
      <xdr:row>2</xdr:row>
      <xdr:rowOff>13510</xdr:rowOff>
    </xdr:from>
    <xdr:to>
      <xdr:col>19</xdr:col>
      <xdr:colOff>1622</xdr:colOff>
      <xdr:row>22</xdr:row>
      <xdr:rowOff>162735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46E0C53-5C74-EA48-89EC-EADA849A5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186132</xdr:colOff>
      <xdr:row>8</xdr:row>
      <xdr:rowOff>109085</xdr:rowOff>
    </xdr:from>
    <xdr:to>
      <xdr:col>6</xdr:col>
      <xdr:colOff>155817</xdr:colOff>
      <xdr:row>10</xdr:row>
      <xdr:rowOff>39036</xdr:rowOff>
    </xdr:to>
    <xdr:sp macro="" textlink="">
      <xdr:nvSpPr>
        <xdr:cNvPr id="5" name="文本框 8">
          <a:extLst>
            <a:ext uri="{FF2B5EF4-FFF2-40B4-BE49-F238E27FC236}">
              <a16:creationId xmlns:a16="http://schemas.microsoft.com/office/drawing/2014/main" id="{1895CA2C-CBA8-024E-B099-9A68BBD3336B}"/>
            </a:ext>
          </a:extLst>
        </xdr:cNvPr>
        <xdr:cNvSpPr txBox="1"/>
      </xdr:nvSpPr>
      <xdr:spPr>
        <a:xfrm>
          <a:off x="3548746" y="1540721"/>
          <a:ext cx="642207" cy="287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400" b="1">
              <a:solidFill>
                <a:sysClr val="windowText" lastClr="000000"/>
              </a:solidFill>
            </a:rPr>
            <a:t>TCFC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487256</xdr:colOff>
      <xdr:row>10</xdr:row>
      <xdr:rowOff>7680</xdr:rowOff>
    </xdr:from>
    <xdr:to>
      <xdr:col>5</xdr:col>
      <xdr:colOff>622664</xdr:colOff>
      <xdr:row>11</xdr:row>
      <xdr:rowOff>103928</xdr:rowOff>
    </xdr:to>
    <xdr:cxnSp macro="">
      <xdr:nvCxnSpPr>
        <xdr:cNvPr id="7" name="连接符: 曲线 19">
          <a:extLst>
            <a:ext uri="{FF2B5EF4-FFF2-40B4-BE49-F238E27FC236}">
              <a16:creationId xmlns:a16="http://schemas.microsoft.com/office/drawing/2014/main" id="{97CA4EA8-0E50-744E-AD23-2DB8C79551C0}"/>
            </a:ext>
          </a:extLst>
        </xdr:cNvPr>
        <xdr:cNvCxnSpPr/>
      </xdr:nvCxnSpPr>
      <xdr:spPr>
        <a:xfrm rot="16200000" flipH="1">
          <a:off x="3779972" y="1867123"/>
          <a:ext cx="275203" cy="135408"/>
        </a:xfrm>
        <a:prstGeom prst="curvedConnector3">
          <a:avLst>
            <a:gd name="adj1" fmla="val 13542"/>
          </a:avLst>
        </a:prstGeom>
        <a:ln w="9525"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80136</xdr:colOff>
      <xdr:row>8</xdr:row>
      <xdr:rowOff>44732</xdr:rowOff>
    </xdr:from>
    <xdr:to>
      <xdr:col>7</xdr:col>
      <xdr:colOff>49820</xdr:colOff>
      <xdr:row>9</xdr:row>
      <xdr:rowOff>153637</xdr:rowOff>
    </xdr:to>
    <xdr:sp macro="" textlink="">
      <xdr:nvSpPr>
        <xdr:cNvPr id="8" name="文本框 8">
          <a:extLst>
            <a:ext uri="{FF2B5EF4-FFF2-40B4-BE49-F238E27FC236}">
              <a16:creationId xmlns:a16="http://schemas.microsoft.com/office/drawing/2014/main" id="{65361C92-08A7-4C4E-8FA6-8266CAA5422E}"/>
            </a:ext>
          </a:extLst>
        </xdr:cNvPr>
        <xdr:cNvSpPr txBox="1"/>
      </xdr:nvSpPr>
      <xdr:spPr>
        <a:xfrm>
          <a:off x="4115272" y="1476368"/>
          <a:ext cx="642207" cy="287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400" b="1">
              <a:solidFill>
                <a:sysClr val="windowText" lastClr="000000"/>
              </a:solidFill>
            </a:rPr>
            <a:t>IAC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407374</xdr:colOff>
      <xdr:row>9</xdr:row>
      <xdr:rowOff>87645</xdr:rowOff>
    </xdr:from>
    <xdr:to>
      <xdr:col>6</xdr:col>
      <xdr:colOff>542782</xdr:colOff>
      <xdr:row>11</xdr:row>
      <xdr:rowOff>4940</xdr:rowOff>
    </xdr:to>
    <xdr:cxnSp macro="">
      <xdr:nvCxnSpPr>
        <xdr:cNvPr id="9" name="连接符: 曲线 19">
          <a:extLst>
            <a:ext uri="{FF2B5EF4-FFF2-40B4-BE49-F238E27FC236}">
              <a16:creationId xmlns:a16="http://schemas.microsoft.com/office/drawing/2014/main" id="{7ABD5AB4-7570-E048-8670-37C15943CE8E}"/>
            </a:ext>
          </a:extLst>
        </xdr:cNvPr>
        <xdr:cNvCxnSpPr/>
      </xdr:nvCxnSpPr>
      <xdr:spPr>
        <a:xfrm rot="16200000" flipH="1">
          <a:off x="4372612" y="1768134"/>
          <a:ext cx="275204" cy="135408"/>
        </a:xfrm>
        <a:prstGeom prst="curvedConnector3">
          <a:avLst>
            <a:gd name="adj1" fmla="val 13542"/>
          </a:avLst>
        </a:prstGeom>
        <a:ln w="9525"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24318</xdr:colOff>
      <xdr:row>24</xdr:row>
      <xdr:rowOff>26752</xdr:rowOff>
    </xdr:from>
    <xdr:to>
      <xdr:col>18</xdr:col>
      <xdr:colOff>669324</xdr:colOff>
      <xdr:row>44</xdr:row>
      <xdr:rowOff>175913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图表 11">
              <a:extLst>
                <a:ext uri="{FF2B5EF4-FFF2-40B4-BE49-F238E27FC236}">
                  <a16:creationId xmlns:a16="http://schemas.microsoft.com/office/drawing/2014/main" id="{06400DB5-77E4-319E-687F-E62472FB08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28418" y="4293952"/>
              <a:ext cx="5356706" cy="37051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28</xdr:col>
      <xdr:colOff>309126</xdr:colOff>
      <xdr:row>2</xdr:row>
      <xdr:rowOff>15002</xdr:rowOff>
    </xdr:from>
    <xdr:to>
      <xdr:col>32</xdr:col>
      <xdr:colOff>638517</xdr:colOff>
      <xdr:row>25</xdr:row>
      <xdr:rowOff>55002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7E5CC00-6982-6F48-8342-079A59407D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372838</xdr:colOff>
      <xdr:row>12</xdr:row>
      <xdr:rowOff>150817</xdr:rowOff>
    </xdr:from>
    <xdr:to>
      <xdr:col>18</xdr:col>
      <xdr:colOff>332638</xdr:colOff>
      <xdr:row>12</xdr:row>
      <xdr:rowOff>150817</xdr:rowOff>
    </xdr:to>
    <xdr:cxnSp macro="">
      <xdr:nvCxnSpPr>
        <xdr:cNvPr id="17" name="直接连接符 16">
          <a:extLst>
            <a:ext uri="{FF2B5EF4-FFF2-40B4-BE49-F238E27FC236}">
              <a16:creationId xmlns:a16="http://schemas.microsoft.com/office/drawing/2014/main" id="{C308BE81-F56C-4F5D-AEFF-FF49CA1A4BFC}"/>
            </a:ext>
          </a:extLst>
        </xdr:cNvPr>
        <xdr:cNvCxnSpPr/>
      </xdr:nvCxnSpPr>
      <xdr:spPr>
        <a:xfrm>
          <a:off x="8469088" y="2293942"/>
          <a:ext cx="4007925" cy="0"/>
        </a:xfrm>
        <a:prstGeom prst="line">
          <a:avLst/>
        </a:prstGeom>
        <a:ln w="22225">
          <a:solidFill>
            <a:srgbClr val="92D05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354221</xdr:colOff>
      <xdr:row>10</xdr:row>
      <xdr:rowOff>105862</xdr:rowOff>
    </xdr:from>
    <xdr:to>
      <xdr:col>18</xdr:col>
      <xdr:colOff>314021</xdr:colOff>
      <xdr:row>10</xdr:row>
      <xdr:rowOff>105862</xdr:rowOff>
    </xdr:to>
    <xdr:cxnSp macro="">
      <xdr:nvCxnSpPr>
        <xdr:cNvPr id="18" name="直接连接符 17">
          <a:extLst>
            <a:ext uri="{FF2B5EF4-FFF2-40B4-BE49-F238E27FC236}">
              <a16:creationId xmlns:a16="http://schemas.microsoft.com/office/drawing/2014/main" id="{5102444A-1F54-471D-8C9B-F7F0D59CB6BD}"/>
            </a:ext>
          </a:extLst>
        </xdr:cNvPr>
        <xdr:cNvCxnSpPr/>
      </xdr:nvCxnSpPr>
      <xdr:spPr>
        <a:xfrm>
          <a:off x="8450471" y="1891800"/>
          <a:ext cx="4007925" cy="0"/>
        </a:xfrm>
        <a:prstGeom prst="line">
          <a:avLst/>
        </a:prstGeom>
        <a:ln w="22225">
          <a:solidFill>
            <a:schemeClr val="accent2">
              <a:lumMod val="60000"/>
              <a:lumOff val="40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365778</xdr:colOff>
      <xdr:row>7</xdr:row>
      <xdr:rowOff>158002</xdr:rowOff>
    </xdr:from>
    <xdr:to>
      <xdr:col>18</xdr:col>
      <xdr:colOff>325578</xdr:colOff>
      <xdr:row>7</xdr:row>
      <xdr:rowOff>158002</xdr:rowOff>
    </xdr:to>
    <xdr:cxnSp macro="">
      <xdr:nvCxnSpPr>
        <xdr:cNvPr id="21" name="直接连接符 20">
          <a:extLst>
            <a:ext uri="{FF2B5EF4-FFF2-40B4-BE49-F238E27FC236}">
              <a16:creationId xmlns:a16="http://schemas.microsoft.com/office/drawing/2014/main" id="{5AD2E918-694A-4DE9-9F96-6FF4042290E3}"/>
            </a:ext>
          </a:extLst>
        </xdr:cNvPr>
        <xdr:cNvCxnSpPr/>
      </xdr:nvCxnSpPr>
      <xdr:spPr>
        <a:xfrm>
          <a:off x="8462028" y="1408158"/>
          <a:ext cx="4007925" cy="0"/>
        </a:xfrm>
        <a:prstGeom prst="line">
          <a:avLst/>
        </a:prstGeom>
        <a:ln w="22225">
          <a:solidFill>
            <a:srgbClr val="007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17888</xdr:colOff>
      <xdr:row>24</xdr:row>
      <xdr:rowOff>26832</xdr:rowOff>
    </xdr:from>
    <xdr:to>
      <xdr:col>27</xdr:col>
      <xdr:colOff>665589</xdr:colOff>
      <xdr:row>44</xdr:row>
      <xdr:rowOff>176057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19343948-5C4D-47A7-8327-9B1BE49F15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49482</xdr:colOff>
      <xdr:row>26</xdr:row>
      <xdr:rowOff>92170</xdr:rowOff>
    </xdr:from>
    <xdr:to>
      <xdr:col>15</xdr:col>
      <xdr:colOff>53730</xdr:colOff>
      <xdr:row>37</xdr:row>
      <xdr:rowOff>131884</xdr:rowOff>
    </xdr:to>
    <xdr:cxnSp macro="">
      <xdr:nvCxnSpPr>
        <xdr:cNvPr id="23" name="直接连接符 22">
          <a:extLst>
            <a:ext uri="{FF2B5EF4-FFF2-40B4-BE49-F238E27FC236}">
              <a16:creationId xmlns:a16="http://schemas.microsoft.com/office/drawing/2014/main" id="{73488272-33E0-4E8E-AEE6-46855CEC77F9}"/>
            </a:ext>
          </a:extLst>
        </xdr:cNvPr>
        <xdr:cNvCxnSpPr/>
      </xdr:nvCxnSpPr>
      <xdr:spPr>
        <a:xfrm>
          <a:off x="10160636" y="4664170"/>
          <a:ext cx="4248" cy="1974022"/>
        </a:xfrm>
        <a:prstGeom prst="line">
          <a:avLst/>
        </a:prstGeom>
        <a:ln w="22225">
          <a:solidFill>
            <a:srgbClr val="007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72187</xdr:colOff>
      <xdr:row>27</xdr:row>
      <xdr:rowOff>123551</xdr:rowOff>
    </xdr:from>
    <xdr:to>
      <xdr:col>18</xdr:col>
      <xdr:colOff>434325</xdr:colOff>
      <xdr:row>31</xdr:row>
      <xdr:rowOff>135299</xdr:rowOff>
    </xdr:to>
    <xdr:sp macro="" textlink="">
      <xdr:nvSpPr>
        <xdr:cNvPr id="25" name="文本框 8">
          <a:extLst>
            <a:ext uri="{FF2B5EF4-FFF2-40B4-BE49-F238E27FC236}">
              <a16:creationId xmlns:a16="http://schemas.microsoft.com/office/drawing/2014/main" id="{6F9C6C0F-057B-46D1-8E98-2D3D5686AF58}"/>
            </a:ext>
          </a:extLst>
        </xdr:cNvPr>
        <xdr:cNvSpPr txBox="1"/>
      </xdr:nvSpPr>
      <xdr:spPr>
        <a:xfrm>
          <a:off x="10183341" y="4871397"/>
          <a:ext cx="2384369" cy="7151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2000" b="1">
              <a:solidFill>
                <a:schemeClr val="accent1">
                  <a:lumMod val="75000"/>
                </a:schemeClr>
              </a:solidFill>
            </a:rPr>
            <a:t>85%</a:t>
          </a:r>
        </a:p>
        <a:p>
          <a:r>
            <a:rPr lang="en-US" altLang="zh-CN" sz="2000" b="1">
              <a:solidFill>
                <a:schemeClr val="accent1">
                  <a:lumMod val="75000"/>
                </a:schemeClr>
              </a:solidFill>
            </a:rPr>
            <a:t>GBW &lt; 5 MHz</a:t>
          </a:r>
          <a:endParaRPr lang="zh-CN" altLang="en-US" sz="20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20</xdr:col>
      <xdr:colOff>25738</xdr:colOff>
      <xdr:row>46</xdr:row>
      <xdr:rowOff>28865</xdr:rowOff>
    </xdr:from>
    <xdr:to>
      <xdr:col>27</xdr:col>
      <xdr:colOff>649433</xdr:colOff>
      <xdr:row>66</xdr:row>
      <xdr:rowOff>159602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BDB49A47-B3FB-485A-95C6-416D1F7186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6365"/>
        <a:stretch/>
      </xdr:blipFill>
      <xdr:spPr>
        <a:xfrm>
          <a:off x="13447329" y="8659092"/>
          <a:ext cx="5321252" cy="388301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6</xdr:col>
      <xdr:colOff>542637</xdr:colOff>
      <xdr:row>6</xdr:row>
      <xdr:rowOff>55701</xdr:rowOff>
    </xdr:from>
    <xdr:to>
      <xdr:col>7</xdr:col>
      <xdr:colOff>453159</xdr:colOff>
      <xdr:row>8</xdr:row>
      <xdr:rowOff>9288</xdr:rowOff>
    </xdr:to>
    <xdr:sp macro="" textlink="">
      <xdr:nvSpPr>
        <xdr:cNvPr id="28" name="文本框 8">
          <a:extLst>
            <a:ext uri="{FF2B5EF4-FFF2-40B4-BE49-F238E27FC236}">
              <a16:creationId xmlns:a16="http://schemas.microsoft.com/office/drawing/2014/main" id="{B565672B-054B-4E32-AB79-1CFD676F8E05}"/>
            </a:ext>
          </a:extLst>
        </xdr:cNvPr>
        <xdr:cNvSpPr txBox="1"/>
      </xdr:nvSpPr>
      <xdr:spPr>
        <a:xfrm>
          <a:off x="4577773" y="1129428"/>
          <a:ext cx="58304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400" b="1">
              <a:solidFill>
                <a:sysClr val="windowText" lastClr="000000"/>
              </a:solidFill>
            </a:rPr>
            <a:t>SoTA</a:t>
          </a:r>
          <a:endParaRPr lang="zh-CN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320206</xdr:colOff>
      <xdr:row>7</xdr:row>
      <xdr:rowOff>113045</xdr:rowOff>
    </xdr:from>
    <xdr:to>
      <xdr:col>7</xdr:col>
      <xdr:colOff>455614</xdr:colOff>
      <xdr:row>9</xdr:row>
      <xdr:rowOff>30340</xdr:rowOff>
    </xdr:to>
    <xdr:cxnSp macro="">
      <xdr:nvCxnSpPr>
        <xdr:cNvPr id="29" name="连接符: 曲线 19">
          <a:extLst>
            <a:ext uri="{FF2B5EF4-FFF2-40B4-BE49-F238E27FC236}">
              <a16:creationId xmlns:a16="http://schemas.microsoft.com/office/drawing/2014/main" id="{9D962185-D821-4459-95FC-2E21F686D5B0}"/>
            </a:ext>
          </a:extLst>
        </xdr:cNvPr>
        <xdr:cNvCxnSpPr/>
      </xdr:nvCxnSpPr>
      <xdr:spPr>
        <a:xfrm rot="16200000" flipH="1">
          <a:off x="4957967" y="1435625"/>
          <a:ext cx="275204" cy="135408"/>
        </a:xfrm>
        <a:prstGeom prst="curvedConnector3">
          <a:avLst>
            <a:gd name="adj1" fmla="val 13542"/>
          </a:avLst>
        </a:prstGeom>
        <a:ln w="9525"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46</xdr:row>
      <xdr:rowOff>0</xdr:rowOff>
    </xdr:from>
    <xdr:to>
      <xdr:col>9</xdr:col>
      <xdr:colOff>645555</xdr:colOff>
      <xdr:row>66</xdr:row>
      <xdr:rowOff>136495</xdr:rowOff>
    </xdr:to>
    <xdr:graphicFrame macro="">
      <xdr:nvGraphicFramePr>
        <xdr:cNvPr id="44" name="图表 43">
          <a:extLst>
            <a:ext uri="{FF2B5EF4-FFF2-40B4-BE49-F238E27FC236}">
              <a16:creationId xmlns:a16="http://schemas.microsoft.com/office/drawing/2014/main" id="{E28B38F6-B24C-47A4-9FD0-663378D15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68</xdr:row>
      <xdr:rowOff>0</xdr:rowOff>
    </xdr:from>
    <xdr:to>
      <xdr:col>9</xdr:col>
      <xdr:colOff>614796</xdr:colOff>
      <xdr:row>88</xdr:row>
      <xdr:rowOff>152113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4EBBF9FE-057D-48D0-896A-D7D842E5A5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7471</xdr:colOff>
      <xdr:row>68</xdr:row>
      <xdr:rowOff>29882</xdr:rowOff>
    </xdr:from>
    <xdr:to>
      <xdr:col>18</xdr:col>
      <xdr:colOff>671879</xdr:colOff>
      <xdr:row>88</xdr:row>
      <xdr:rowOff>179108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44594A85-75E9-427F-BDD9-E879F3EF00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32</xdr:col>
      <xdr:colOff>638012</xdr:colOff>
      <xdr:row>2</xdr:row>
      <xdr:rowOff>13679</xdr:rowOff>
    </xdr:from>
    <xdr:to>
      <xdr:col>37</xdr:col>
      <xdr:colOff>293751</xdr:colOff>
      <xdr:row>25</xdr:row>
      <xdr:rowOff>53679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49681E3D-3A55-4947-B596-F19D7C4BA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0</xdr:colOff>
      <xdr:row>68</xdr:row>
      <xdr:rowOff>0</xdr:rowOff>
    </xdr:from>
    <xdr:to>
      <xdr:col>27</xdr:col>
      <xdr:colOff>647700</xdr:colOff>
      <xdr:row>88</xdr:row>
      <xdr:rowOff>149225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E2751952-FAD7-4547-A748-7715D0B85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25400</xdr:colOff>
      <xdr:row>91</xdr:row>
      <xdr:rowOff>12700</xdr:rowOff>
    </xdr:from>
    <xdr:to>
      <xdr:col>28</xdr:col>
      <xdr:colOff>0</xdr:colOff>
      <xdr:row>111</xdr:row>
      <xdr:rowOff>161925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D0FA5569-CADC-4761-8C7A-45E271F18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0</xdr:colOff>
      <xdr:row>91</xdr:row>
      <xdr:rowOff>0</xdr:rowOff>
    </xdr:from>
    <xdr:to>
      <xdr:col>18</xdr:col>
      <xdr:colOff>647700</xdr:colOff>
      <xdr:row>111</xdr:row>
      <xdr:rowOff>149225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169A2873-1448-47C0-B1BC-3C52827E4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0.21195</cdr:x>
      <cdr:y>0.56577</cdr:y>
    </cdr:from>
    <cdr:to>
      <cdr:x>0.94214</cdr:x>
      <cdr:y>0.56577</cdr:y>
    </cdr:to>
    <cdr:cxnSp macro="">
      <cdr:nvCxnSpPr>
        <cdr:cNvPr id="2" name="直接连接符 1">
          <a:extLst xmlns:a="http://schemas.openxmlformats.org/drawingml/2006/main">
            <a:ext uri="{FF2B5EF4-FFF2-40B4-BE49-F238E27FC236}">
              <a16:creationId xmlns:a16="http://schemas.microsoft.com/office/drawing/2014/main" id="{2D5D1B00-8DC5-4D7B-A91C-9E7A04F7921A}"/>
            </a:ext>
          </a:extLst>
        </cdr:cNvPr>
        <cdr:cNvCxnSpPr/>
      </cdr:nvCxnSpPr>
      <cdr:spPr>
        <a:xfrm xmlns:a="http://schemas.openxmlformats.org/drawingml/2006/main">
          <a:off x="1137611" y="2109358"/>
          <a:ext cx="3919299" cy="0"/>
        </a:xfrm>
        <a:prstGeom xmlns:a="http://schemas.openxmlformats.org/drawingml/2006/main" prst="line">
          <a:avLst/>
        </a:prstGeom>
        <a:ln xmlns:a="http://schemas.openxmlformats.org/drawingml/2006/main" w="22225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0.86246</cdr:x>
      <cdr:y>0.49424</cdr:y>
    </cdr:from>
    <cdr:to>
      <cdr:x>1</cdr:x>
      <cdr:y>0.57887</cdr:y>
    </cdr:to>
    <cdr:sp macro="" textlink="">
      <cdr:nvSpPr>
        <cdr:cNvPr id="3" name="文本框 8">
          <a:extLst xmlns:a="http://schemas.openxmlformats.org/drawingml/2006/main">
            <a:ext uri="{FF2B5EF4-FFF2-40B4-BE49-F238E27FC236}">
              <a16:creationId xmlns:a16="http://schemas.microsoft.com/office/drawing/2014/main" id="{3AE5D2B4-764A-4F6E-85D7-D19E9633B20B}"/>
            </a:ext>
          </a:extLst>
        </cdr:cNvPr>
        <cdr:cNvSpPr txBox="1"/>
      </cdr:nvSpPr>
      <cdr:spPr>
        <a:xfrm xmlns:a="http://schemas.openxmlformats.org/drawingml/2006/main">
          <a:off x="4629239" y="1842691"/>
          <a:ext cx="738243" cy="31552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400" b="1">
              <a:solidFill>
                <a:srgbClr val="FF0000"/>
              </a:solidFill>
            </a:rPr>
            <a:t>5T</a:t>
          </a:r>
          <a:r>
            <a:rPr lang="en-US" altLang="zh-CN" sz="1400" b="1" baseline="0">
              <a:solidFill>
                <a:srgbClr val="FF0000"/>
              </a:solidFill>
            </a:rPr>
            <a:t> OTA</a:t>
          </a:r>
          <a:endParaRPr lang="zh-CN" altLang="en-US" sz="1400" b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0.21175</cdr:x>
      <cdr:y>0.63536</cdr:y>
    </cdr:from>
    <cdr:to>
      <cdr:x>0.94483</cdr:x>
      <cdr:y>0.63591</cdr:y>
    </cdr:to>
    <cdr:cxnSp macro="">
      <cdr:nvCxnSpPr>
        <cdr:cNvPr id="4" name="直接连接符 3">
          <a:extLst xmlns:a="http://schemas.openxmlformats.org/drawingml/2006/main">
            <a:ext uri="{FF2B5EF4-FFF2-40B4-BE49-F238E27FC236}">
              <a16:creationId xmlns:a16="http://schemas.microsoft.com/office/drawing/2014/main" id="{40E36C1F-3B7C-44A2-9CEE-569F92F26B8F}"/>
            </a:ext>
          </a:extLst>
        </cdr:cNvPr>
        <cdr:cNvCxnSpPr/>
      </cdr:nvCxnSpPr>
      <cdr:spPr>
        <a:xfrm xmlns:a="http://schemas.openxmlformats.org/drawingml/2006/main" flipV="1">
          <a:off x="1136574" y="2368840"/>
          <a:ext cx="3934767" cy="2050"/>
        </a:xfrm>
        <a:prstGeom xmlns:a="http://schemas.openxmlformats.org/drawingml/2006/main" prst="line">
          <a:avLst/>
        </a:prstGeom>
        <a:ln xmlns:a="http://schemas.openxmlformats.org/drawingml/2006/main" w="22225">
          <a:solidFill>
            <a:srgbClr val="92D05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0.17144</cdr:x>
      <cdr:y>0.51546</cdr:y>
    </cdr:from>
    <cdr:to>
      <cdr:x>0.50299</cdr:x>
      <cdr:y>0.60003</cdr:y>
    </cdr:to>
    <cdr:sp macro="" textlink="">
      <cdr:nvSpPr>
        <cdr:cNvPr id="2" name="文本框 8">
          <a:extLst xmlns:a="http://schemas.openxmlformats.org/drawingml/2006/main">
            <a:ext uri="{FF2B5EF4-FFF2-40B4-BE49-F238E27FC236}">
              <a16:creationId xmlns:a16="http://schemas.microsoft.com/office/drawing/2014/main" id="{65361C92-08A7-4C4E-8FA6-8266CAA5422E}"/>
            </a:ext>
          </a:extLst>
        </cdr:cNvPr>
        <cdr:cNvSpPr txBox="1"/>
      </cdr:nvSpPr>
      <cdr:spPr>
        <a:xfrm xmlns:a="http://schemas.openxmlformats.org/drawingml/2006/main">
          <a:off x="921014" y="1918070"/>
          <a:ext cx="1781125" cy="31470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400" b="1">
              <a:solidFill>
                <a:schemeClr val="accent6">
                  <a:lumMod val="75000"/>
                </a:schemeClr>
              </a:solidFill>
            </a:rPr>
            <a:t>S-D,</a:t>
          </a:r>
          <a:r>
            <a:rPr lang="en-US" altLang="zh-CN" sz="1400" b="1" baseline="0">
              <a:solidFill>
                <a:schemeClr val="accent6">
                  <a:lumMod val="75000"/>
                </a:schemeClr>
              </a:solidFill>
            </a:rPr>
            <a:t> Pipeline</a:t>
          </a:r>
          <a:endParaRPr lang="zh-CN" altLang="en-US" sz="1400" b="1">
            <a:solidFill>
              <a:schemeClr val="accent6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0.17015</cdr:x>
      <cdr:y>0.39559</cdr:y>
    </cdr:from>
    <cdr:to>
      <cdr:x>0.50769</cdr:x>
      <cdr:y>0.47966</cdr:y>
    </cdr:to>
    <cdr:sp macro="" textlink="">
      <cdr:nvSpPr>
        <cdr:cNvPr id="12" name="文本框 8">
          <a:extLst xmlns:a="http://schemas.openxmlformats.org/drawingml/2006/main">
            <a:ext uri="{FF2B5EF4-FFF2-40B4-BE49-F238E27FC236}">
              <a16:creationId xmlns:a16="http://schemas.microsoft.com/office/drawing/2014/main" id="{C22D4637-3AB8-48D7-AF05-78097D133A3A}"/>
            </a:ext>
          </a:extLst>
        </cdr:cNvPr>
        <cdr:cNvSpPr txBox="1"/>
      </cdr:nvSpPr>
      <cdr:spPr>
        <a:xfrm xmlns:a="http://schemas.openxmlformats.org/drawingml/2006/main">
          <a:off x="914051" y="1472028"/>
          <a:ext cx="1813299" cy="31283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400" b="1">
              <a:solidFill>
                <a:schemeClr val="accent2"/>
              </a:solidFill>
            </a:rPr>
            <a:t>Matrix display</a:t>
          </a:r>
          <a:r>
            <a:rPr lang="en-US" altLang="zh-CN" sz="1400" b="1" baseline="0">
              <a:solidFill>
                <a:schemeClr val="accent2"/>
              </a:solidFill>
            </a:rPr>
            <a:t> </a:t>
          </a:r>
          <a:r>
            <a:rPr lang="en-US" altLang="zh-CN" sz="1400" b="1">
              <a:solidFill>
                <a:schemeClr val="accent2"/>
              </a:solidFill>
            </a:rPr>
            <a:t>drivers</a:t>
          </a:r>
          <a:endParaRPr lang="zh-CN" altLang="en-US" sz="1400" b="1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0.17609</cdr:x>
      <cdr:y>0.2656</cdr:y>
    </cdr:from>
    <cdr:to>
      <cdr:x>0.62038</cdr:x>
      <cdr:y>0.34967</cdr:y>
    </cdr:to>
    <cdr:sp macro="" textlink="">
      <cdr:nvSpPr>
        <cdr:cNvPr id="20" name="文本框 8">
          <a:extLst xmlns:a="http://schemas.openxmlformats.org/drawingml/2006/main">
            <a:ext uri="{FF2B5EF4-FFF2-40B4-BE49-F238E27FC236}">
              <a16:creationId xmlns:a16="http://schemas.microsoft.com/office/drawing/2014/main" id="{7C71749F-7E02-4F56-9F31-E9329F7788C3}"/>
            </a:ext>
          </a:extLst>
        </cdr:cNvPr>
        <cdr:cNvSpPr txBox="1"/>
      </cdr:nvSpPr>
      <cdr:spPr>
        <a:xfrm xmlns:a="http://schemas.openxmlformats.org/drawingml/2006/main">
          <a:off x="945991" y="988314"/>
          <a:ext cx="2386775" cy="31283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400" b="1">
              <a:solidFill>
                <a:schemeClr val="accent1">
                  <a:lumMod val="75000"/>
                </a:schemeClr>
              </a:solidFill>
            </a:rPr>
            <a:t>High-color-depth</a:t>
          </a:r>
          <a:r>
            <a:rPr lang="en-US" altLang="zh-CN" sz="1400" b="1" baseline="0">
              <a:solidFill>
                <a:schemeClr val="accent1">
                  <a:lumMod val="75000"/>
                </a:schemeClr>
              </a:solidFill>
            </a:rPr>
            <a:t> LCD </a:t>
          </a:r>
          <a:r>
            <a:rPr lang="en-US" altLang="zh-CN" sz="1400" b="1">
              <a:solidFill>
                <a:schemeClr val="accent1">
                  <a:lumMod val="75000"/>
                </a:schemeClr>
              </a:solidFill>
            </a:rPr>
            <a:t>drivers</a:t>
          </a:r>
          <a:endParaRPr lang="zh-CN" altLang="en-US" sz="1400" b="1">
            <a:solidFill>
              <a:schemeClr val="accent1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0.1761</cdr:x>
      <cdr:y>0.16484</cdr:y>
    </cdr:from>
    <cdr:to>
      <cdr:x>0.57105</cdr:x>
      <cdr:y>0.24981</cdr:y>
    </cdr:to>
    <cdr:sp macro="" textlink="">
      <cdr:nvSpPr>
        <cdr:cNvPr id="28" name="文本框 8">
          <a:extLst xmlns:a="http://schemas.openxmlformats.org/drawingml/2006/main">
            <a:ext uri="{FF2B5EF4-FFF2-40B4-BE49-F238E27FC236}">
              <a16:creationId xmlns:a16="http://schemas.microsoft.com/office/drawing/2014/main" id="{7B80A501-353F-4643-8AF8-C2FDA6970E3C}"/>
            </a:ext>
          </a:extLst>
        </cdr:cNvPr>
        <cdr:cNvSpPr txBox="1"/>
      </cdr:nvSpPr>
      <cdr:spPr>
        <a:xfrm xmlns:a="http://schemas.openxmlformats.org/drawingml/2006/main">
          <a:off x="945181" y="604342"/>
          <a:ext cx="2119760" cy="31149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400" b="1">
              <a:solidFill>
                <a:srgbClr val="7030A0"/>
              </a:solidFill>
            </a:rPr>
            <a:t>A-LDO, MEMS sensor</a:t>
          </a:r>
          <a:endParaRPr lang="zh-CN" altLang="en-US" sz="1400" b="1">
            <a:solidFill>
              <a:srgbClr val="7030A0"/>
            </a:solidFill>
          </a:endParaRP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3"/>
  <sheetViews>
    <sheetView tabSelected="1" zoomScale="70" zoomScaleNormal="70" workbookViewId="0">
      <selection activeCell="F41" sqref="F41"/>
    </sheetView>
  </sheetViews>
  <sheetFormatPr defaultColWidth="8.83203125" defaultRowHeight="14" x14ac:dyDescent="0.3"/>
  <cols>
    <col min="1" max="2" width="10.1640625" customWidth="1"/>
    <col min="3" max="3" width="8.1640625" customWidth="1"/>
    <col min="4" max="4" width="68" style="1" customWidth="1"/>
    <col min="5" max="5" width="24.5" customWidth="1"/>
    <col min="6" max="6" width="34.33203125" customWidth="1"/>
    <col min="7" max="7" width="15.33203125" customWidth="1"/>
    <col min="8" max="8" width="18.33203125" customWidth="1"/>
    <col min="9" max="9" width="13.33203125" customWidth="1"/>
    <col min="11" max="11" width="15" customWidth="1"/>
    <col min="12" max="12" width="12.33203125" customWidth="1"/>
    <col min="13" max="13" width="16" customWidth="1"/>
    <col min="14" max="14" width="19.33203125" customWidth="1"/>
    <col min="15" max="15" width="12.83203125" customWidth="1"/>
    <col min="16" max="16" width="15.33203125" customWidth="1"/>
    <col min="18" max="18" width="11" customWidth="1"/>
    <col min="19" max="19" width="11.33203125" customWidth="1"/>
    <col min="20" max="20" width="22.83203125" customWidth="1"/>
    <col min="21" max="21" width="21" customWidth="1"/>
    <col min="22" max="22" width="15.1640625" customWidth="1"/>
    <col min="23" max="23" width="19.1640625" customWidth="1"/>
    <col min="24" max="24" width="22.5" customWidth="1"/>
    <col min="25" max="25" width="22.33203125" style="17" customWidth="1"/>
    <col min="26" max="26" width="24.6640625" customWidth="1"/>
    <col min="27" max="27" width="25.1640625" customWidth="1"/>
    <col min="28" max="28" width="25.5" customWidth="1"/>
    <col min="29" max="29" width="26.33203125" customWidth="1"/>
    <col min="30" max="31" width="26.33203125" style="17" customWidth="1"/>
    <col min="32" max="32" width="21.58203125" customWidth="1"/>
    <col min="33" max="33" width="21.4140625" customWidth="1"/>
    <col min="37" max="38" width="16.83203125" customWidth="1"/>
    <col min="39" max="39" width="13.83203125" customWidth="1"/>
    <col min="40" max="40" width="21.58203125" customWidth="1"/>
    <col min="41" max="45" width="21.4140625" customWidth="1"/>
    <col min="47" max="47" width="12.33203125" customWidth="1"/>
    <col min="48" max="48" width="17" customWidth="1"/>
    <col min="49" max="49" width="16.25" customWidth="1"/>
  </cols>
  <sheetData>
    <row r="1" spans="1:31" ht="19.5" thickBot="1" x14ac:dyDescent="0.45">
      <c r="A1" s="52" t="s">
        <v>27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 t="s">
        <v>25</v>
      </c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 t="s">
        <v>26</v>
      </c>
      <c r="AA1" s="51"/>
      <c r="AB1" s="51"/>
      <c r="AC1" s="53"/>
      <c r="AD1" s="19"/>
      <c r="AE1" s="19"/>
    </row>
    <row r="2" spans="1:31" s="3" customFormat="1" ht="18.5" customHeight="1" x14ac:dyDescent="0.4">
      <c r="A2" s="4" t="s">
        <v>0</v>
      </c>
      <c r="B2" s="5" t="s">
        <v>1</v>
      </c>
      <c r="C2" s="5" t="s">
        <v>2</v>
      </c>
      <c r="D2" s="6" t="s">
        <v>3</v>
      </c>
      <c r="E2" s="5" t="s">
        <v>4</v>
      </c>
      <c r="F2" s="5" t="s">
        <v>8</v>
      </c>
      <c r="G2" s="5" t="s">
        <v>9</v>
      </c>
      <c r="H2" s="5" t="s">
        <v>28</v>
      </c>
      <c r="I2" s="5" t="s">
        <v>6</v>
      </c>
      <c r="J2" s="5" t="s">
        <v>7</v>
      </c>
      <c r="K2" s="5" t="s">
        <v>11</v>
      </c>
      <c r="L2" s="5" t="s">
        <v>10</v>
      </c>
      <c r="M2" s="5" t="s">
        <v>37</v>
      </c>
      <c r="N2" s="5" t="s">
        <v>12</v>
      </c>
      <c r="O2" s="5" t="s">
        <v>13</v>
      </c>
      <c r="P2" s="5" t="s">
        <v>41</v>
      </c>
      <c r="Q2" s="5" t="s">
        <v>14</v>
      </c>
      <c r="R2" s="5" t="s">
        <v>19</v>
      </c>
      <c r="S2" s="5" t="s">
        <v>20</v>
      </c>
      <c r="T2" s="5" t="s">
        <v>15</v>
      </c>
      <c r="U2" s="5" t="s">
        <v>16</v>
      </c>
      <c r="V2" s="5" t="s">
        <v>40</v>
      </c>
      <c r="W2" s="5" t="s">
        <v>17</v>
      </c>
      <c r="X2" s="5" t="s">
        <v>86</v>
      </c>
      <c r="Y2" s="21" t="s">
        <v>18</v>
      </c>
      <c r="Z2" s="5" t="s">
        <v>21</v>
      </c>
      <c r="AA2" s="5" t="s">
        <v>22</v>
      </c>
      <c r="AB2" s="5" t="s">
        <v>23</v>
      </c>
      <c r="AC2" s="14" t="s">
        <v>24</v>
      </c>
      <c r="AD2" s="20" t="s">
        <v>158</v>
      </c>
      <c r="AE2" s="20" t="s">
        <v>159</v>
      </c>
    </row>
    <row r="3" spans="1:31" ht="28" x14ac:dyDescent="0.3">
      <c r="A3" s="7" t="s">
        <v>42</v>
      </c>
      <c r="B3" s="7">
        <v>1992</v>
      </c>
      <c r="C3" s="7" t="s">
        <v>43</v>
      </c>
      <c r="D3" s="8" t="s">
        <v>44</v>
      </c>
      <c r="E3" s="7" t="s">
        <v>45</v>
      </c>
      <c r="F3" s="7" t="s">
        <v>77</v>
      </c>
      <c r="G3" s="7">
        <v>800</v>
      </c>
      <c r="H3" s="7" t="s">
        <v>34</v>
      </c>
      <c r="I3" s="13" t="s">
        <v>46</v>
      </c>
      <c r="J3" s="7">
        <v>3</v>
      </c>
      <c r="K3" s="7" t="s">
        <v>5</v>
      </c>
      <c r="L3" s="7">
        <v>2</v>
      </c>
      <c r="M3" s="7">
        <v>100</v>
      </c>
      <c r="N3" s="7">
        <v>1.7</v>
      </c>
      <c r="O3" s="7" t="s">
        <v>38</v>
      </c>
      <c r="P3" s="7">
        <v>0.59</v>
      </c>
      <c r="Q3" s="7">
        <v>43</v>
      </c>
      <c r="R3" s="7"/>
      <c r="S3" s="7">
        <v>85.8</v>
      </c>
      <c r="T3" s="7">
        <v>0.23</v>
      </c>
      <c r="U3" s="7">
        <f>(4.36+4.25)/2</f>
        <v>4.3049999999999997</v>
      </c>
      <c r="V3" s="7">
        <v>0.4</v>
      </c>
      <c r="W3" s="7">
        <v>126</v>
      </c>
      <c r="X3" s="7">
        <v>0</v>
      </c>
      <c r="Y3" s="22">
        <v>0.23</v>
      </c>
      <c r="Z3" s="9">
        <f t="shared" ref="Z3:Z36" si="0">P3*M3*L3/V3</f>
        <v>295</v>
      </c>
      <c r="AA3" s="9">
        <f t="shared" ref="AA3:AA36" si="1">T3*M3*L3/V3</f>
        <v>115</v>
      </c>
      <c r="AB3" s="9">
        <f t="shared" ref="AB3:AB36" si="2">P3*M3/V3</f>
        <v>147.5</v>
      </c>
      <c r="AC3" s="15">
        <f t="shared" ref="AC3:AC36" si="3">T3*M3/V3</f>
        <v>57.5</v>
      </c>
      <c r="AD3" s="18">
        <f>AB3/Y3</f>
        <v>641.30434782608688</v>
      </c>
      <c r="AE3" s="18">
        <f>AC3/Y3</f>
        <v>250</v>
      </c>
    </row>
    <row r="4" spans="1:31" ht="28" x14ac:dyDescent="0.3">
      <c r="A4" s="7" t="s">
        <v>47</v>
      </c>
      <c r="B4" s="7">
        <v>1992</v>
      </c>
      <c r="C4" s="7">
        <v>12</v>
      </c>
      <c r="D4" s="8" t="s">
        <v>48</v>
      </c>
      <c r="E4" s="7" t="s">
        <v>49</v>
      </c>
      <c r="F4" s="7" t="s">
        <v>50</v>
      </c>
      <c r="G4" s="7"/>
      <c r="H4" s="7" t="s">
        <v>34</v>
      </c>
      <c r="I4" s="13" t="s">
        <v>51</v>
      </c>
      <c r="J4" s="7">
        <v>3</v>
      </c>
      <c r="K4" s="7" t="s">
        <v>5</v>
      </c>
      <c r="L4" s="7">
        <v>8</v>
      </c>
      <c r="M4" s="7">
        <v>100</v>
      </c>
      <c r="N4" s="7"/>
      <c r="O4" s="7">
        <v>100</v>
      </c>
      <c r="P4" s="7">
        <v>100</v>
      </c>
      <c r="Q4" s="7">
        <v>40</v>
      </c>
      <c r="R4" s="7"/>
      <c r="S4" s="7"/>
      <c r="T4" s="7">
        <v>35</v>
      </c>
      <c r="U4" s="7">
        <f>0.06/2.3</f>
        <v>2.6086956521739132E-2</v>
      </c>
      <c r="V4" s="7">
        <f>9.5*8</f>
        <v>76</v>
      </c>
      <c r="W4" s="7">
        <v>19</v>
      </c>
      <c r="X4" s="7">
        <v>0</v>
      </c>
      <c r="Y4" s="22">
        <f>1.2*1.5</f>
        <v>1.7999999999999998</v>
      </c>
      <c r="Z4" s="9">
        <f t="shared" si="0"/>
        <v>1052.6315789473683</v>
      </c>
      <c r="AA4" s="9">
        <f t="shared" si="1"/>
        <v>368.42105263157896</v>
      </c>
      <c r="AB4" s="9">
        <f t="shared" si="2"/>
        <v>131.57894736842104</v>
      </c>
      <c r="AC4" s="15">
        <f t="shared" si="3"/>
        <v>46.05263157894737</v>
      </c>
      <c r="AD4" s="18">
        <f t="shared" ref="AD4:AD36" si="4">AB4/Y4</f>
        <v>73.099415204678365</v>
      </c>
      <c r="AE4" s="18">
        <f t="shared" ref="AE4:AE36" si="5">AC4/Y4</f>
        <v>25.584795321637429</v>
      </c>
    </row>
    <row r="5" spans="1:31" ht="28" x14ac:dyDescent="0.3">
      <c r="A5" s="7" t="s">
        <v>47</v>
      </c>
      <c r="B5" s="7">
        <v>1994</v>
      </c>
      <c r="C5" s="7">
        <v>12</v>
      </c>
      <c r="D5" s="8" t="s">
        <v>56</v>
      </c>
      <c r="E5" s="7" t="s">
        <v>49</v>
      </c>
      <c r="F5" s="7" t="s">
        <v>50</v>
      </c>
      <c r="G5" s="7">
        <v>800</v>
      </c>
      <c r="H5" s="7" t="s">
        <v>34</v>
      </c>
      <c r="I5" s="13" t="s">
        <v>57</v>
      </c>
      <c r="J5" s="7">
        <v>3</v>
      </c>
      <c r="K5" s="7" t="s">
        <v>5</v>
      </c>
      <c r="L5" s="7">
        <v>1.1000000000000001</v>
      </c>
      <c r="M5" s="7">
        <v>10</v>
      </c>
      <c r="N5" s="7">
        <f>1.1-0.2</f>
        <v>0.90000000000000013</v>
      </c>
      <c r="O5" s="7">
        <v>120</v>
      </c>
      <c r="P5" s="7">
        <v>0.2</v>
      </c>
      <c r="Q5" s="7">
        <v>58</v>
      </c>
      <c r="R5" s="7"/>
      <c r="S5" s="7"/>
      <c r="T5" s="7">
        <v>0.2</v>
      </c>
      <c r="U5" s="7">
        <v>2.9</v>
      </c>
      <c r="V5" s="7">
        <f>0.015*1.1</f>
        <v>1.6500000000000001E-2</v>
      </c>
      <c r="W5" s="7">
        <f>2.6+1.3+1</f>
        <v>4.9000000000000004</v>
      </c>
      <c r="X5" s="7">
        <v>0</v>
      </c>
      <c r="Y5" s="22">
        <v>0.05</v>
      </c>
      <c r="Z5" s="9">
        <f t="shared" si="0"/>
        <v>133.33333333333334</v>
      </c>
      <c r="AA5" s="9">
        <f t="shared" si="1"/>
        <v>133.33333333333334</v>
      </c>
      <c r="AB5" s="9">
        <f t="shared" si="2"/>
        <v>121.2121212121212</v>
      </c>
      <c r="AC5" s="15">
        <f t="shared" si="3"/>
        <v>121.2121212121212</v>
      </c>
      <c r="AD5" s="18">
        <f t="shared" si="4"/>
        <v>2424.242424242424</v>
      </c>
      <c r="AE5" s="18">
        <f t="shared" si="5"/>
        <v>2424.242424242424</v>
      </c>
    </row>
    <row r="6" spans="1:31" ht="28" x14ac:dyDescent="0.3">
      <c r="A6" s="7" t="s">
        <v>47</v>
      </c>
      <c r="B6" s="7">
        <v>1994</v>
      </c>
      <c r="C6" s="7">
        <v>12</v>
      </c>
      <c r="D6" s="8" t="s">
        <v>56</v>
      </c>
      <c r="E6" s="7" t="s">
        <v>108</v>
      </c>
      <c r="F6" s="7" t="s">
        <v>50</v>
      </c>
      <c r="G6" s="7">
        <v>800</v>
      </c>
      <c r="H6" s="7" t="s">
        <v>34</v>
      </c>
      <c r="I6" s="13" t="s">
        <v>58</v>
      </c>
      <c r="J6" s="7">
        <v>3</v>
      </c>
      <c r="K6" s="7" t="s">
        <v>5</v>
      </c>
      <c r="L6" s="7">
        <v>1.1000000000000001</v>
      </c>
      <c r="M6" s="7">
        <v>10</v>
      </c>
      <c r="N6" s="7">
        <f>1.1-0.2</f>
        <v>0.90000000000000013</v>
      </c>
      <c r="O6" s="7">
        <v>120</v>
      </c>
      <c r="P6" s="7">
        <v>0.6</v>
      </c>
      <c r="Q6" s="7">
        <v>45</v>
      </c>
      <c r="R6" s="7"/>
      <c r="S6" s="7"/>
      <c r="T6" s="7">
        <v>0.7</v>
      </c>
      <c r="U6" s="7">
        <v>1.57</v>
      </c>
      <c r="V6" s="7">
        <f>0.015*1.1</f>
        <v>1.6500000000000001E-2</v>
      </c>
      <c r="W6" s="7">
        <f>2.6+1.3+1</f>
        <v>4.9000000000000004</v>
      </c>
      <c r="X6" s="7">
        <v>0</v>
      </c>
      <c r="Y6" s="22">
        <v>0.05</v>
      </c>
      <c r="Z6" s="9">
        <f t="shared" si="0"/>
        <v>400</v>
      </c>
      <c r="AA6" s="9">
        <f t="shared" si="1"/>
        <v>466.66666666666669</v>
      </c>
      <c r="AB6" s="9">
        <f t="shared" si="2"/>
        <v>363.63636363636363</v>
      </c>
      <c r="AC6" s="15">
        <f t="shared" si="3"/>
        <v>424.24242424242425</v>
      </c>
      <c r="AD6" s="18">
        <f t="shared" si="4"/>
        <v>7272.7272727272721</v>
      </c>
      <c r="AE6" s="18">
        <f t="shared" si="5"/>
        <v>8484.8484848484841</v>
      </c>
    </row>
    <row r="7" spans="1:31" x14ac:dyDescent="0.3">
      <c r="A7" s="7" t="s">
        <v>47</v>
      </c>
      <c r="B7" s="7">
        <v>1997</v>
      </c>
      <c r="C7" s="7">
        <v>12</v>
      </c>
      <c r="D7" s="8" t="s">
        <v>52</v>
      </c>
      <c r="E7" s="7" t="s">
        <v>53</v>
      </c>
      <c r="F7" s="7" t="s">
        <v>54</v>
      </c>
      <c r="G7" s="7">
        <v>2000</v>
      </c>
      <c r="H7" s="7" t="s">
        <v>34</v>
      </c>
      <c r="I7" s="13" t="s">
        <v>55</v>
      </c>
      <c r="J7" s="7">
        <v>4</v>
      </c>
      <c r="K7" s="7" t="s">
        <v>5</v>
      </c>
      <c r="L7" s="7">
        <v>2</v>
      </c>
      <c r="M7" s="7">
        <v>20</v>
      </c>
      <c r="N7" s="7">
        <v>1</v>
      </c>
      <c r="O7" s="7">
        <v>100</v>
      </c>
      <c r="P7" s="7">
        <v>1</v>
      </c>
      <c r="Q7" s="7">
        <v>58</v>
      </c>
      <c r="R7" s="7"/>
      <c r="S7" s="7"/>
      <c r="T7" s="7">
        <v>5</v>
      </c>
      <c r="U7" s="7">
        <f>0.92/2.3</f>
        <v>0.4</v>
      </c>
      <c r="V7" s="7">
        <v>1.4</v>
      </c>
      <c r="W7" s="7"/>
      <c r="X7" s="7">
        <v>0</v>
      </c>
      <c r="Y7" s="22">
        <v>0.22</v>
      </c>
      <c r="Z7" s="9">
        <f t="shared" si="0"/>
        <v>28.571428571428573</v>
      </c>
      <c r="AA7" s="9">
        <f t="shared" si="1"/>
        <v>142.85714285714286</v>
      </c>
      <c r="AB7" s="9">
        <f t="shared" si="2"/>
        <v>14.285714285714286</v>
      </c>
      <c r="AC7" s="15">
        <f t="shared" si="3"/>
        <v>71.428571428571431</v>
      </c>
      <c r="AD7" s="18">
        <f t="shared" si="4"/>
        <v>64.935064935064943</v>
      </c>
      <c r="AE7" s="18">
        <f t="shared" si="5"/>
        <v>324.6753246753247</v>
      </c>
    </row>
    <row r="8" spans="1:31" x14ac:dyDescent="0.3">
      <c r="A8" s="7" t="s">
        <v>47</v>
      </c>
      <c r="B8" s="7">
        <v>1999</v>
      </c>
      <c r="C8" s="7">
        <v>3</v>
      </c>
      <c r="D8" s="8" t="s">
        <v>71</v>
      </c>
      <c r="E8" s="7" t="s">
        <v>72</v>
      </c>
      <c r="F8" s="7" t="s">
        <v>73</v>
      </c>
      <c r="G8" s="7">
        <v>600</v>
      </c>
      <c r="H8" s="7" t="s">
        <v>35</v>
      </c>
      <c r="I8" s="13" t="s">
        <v>74</v>
      </c>
      <c r="J8" s="7">
        <v>3</v>
      </c>
      <c r="K8" s="7" t="s">
        <v>5</v>
      </c>
      <c r="L8" s="7">
        <v>3</v>
      </c>
      <c r="M8" s="7">
        <v>40</v>
      </c>
      <c r="N8" s="7"/>
      <c r="O8" s="7">
        <v>102</v>
      </c>
      <c r="P8" s="7">
        <v>47</v>
      </c>
      <c r="Q8" s="7">
        <v>76</v>
      </c>
      <c r="R8" s="7"/>
      <c r="S8" s="7"/>
      <c r="T8" s="7">
        <v>69</v>
      </c>
      <c r="U8" s="7"/>
      <c r="V8" s="7">
        <v>6.9</v>
      </c>
      <c r="W8" s="7"/>
      <c r="X8" s="7"/>
      <c r="Y8" s="22"/>
      <c r="Z8" s="9">
        <f t="shared" si="0"/>
        <v>817.39130434782601</v>
      </c>
      <c r="AA8" s="9">
        <f t="shared" si="1"/>
        <v>1200</v>
      </c>
      <c r="AB8" s="9">
        <f t="shared" si="2"/>
        <v>272.463768115942</v>
      </c>
      <c r="AC8" s="15">
        <f t="shared" si="3"/>
        <v>400</v>
      </c>
      <c r="AD8" s="18"/>
      <c r="AE8" s="18"/>
    </row>
    <row r="9" spans="1:31" x14ac:dyDescent="0.3">
      <c r="A9" s="7" t="s">
        <v>30</v>
      </c>
      <c r="B9" s="7">
        <v>2001</v>
      </c>
      <c r="C9" s="7">
        <v>9</v>
      </c>
      <c r="D9" s="8" t="s">
        <v>29</v>
      </c>
      <c r="E9" s="7" t="s">
        <v>31</v>
      </c>
      <c r="F9" s="11" t="s">
        <v>76</v>
      </c>
      <c r="G9" s="7">
        <v>800</v>
      </c>
      <c r="H9" s="7" t="s">
        <v>35</v>
      </c>
      <c r="I9" s="11" t="s">
        <v>33</v>
      </c>
      <c r="J9" s="7">
        <v>3</v>
      </c>
      <c r="K9" s="7" t="s">
        <v>5</v>
      </c>
      <c r="L9" s="7">
        <v>2</v>
      </c>
      <c r="M9" s="7">
        <v>100</v>
      </c>
      <c r="N9" s="7">
        <v>1.7</v>
      </c>
      <c r="O9" s="7" t="s">
        <v>38</v>
      </c>
      <c r="P9" s="7">
        <v>0.82</v>
      </c>
      <c r="Q9" s="7">
        <v>46</v>
      </c>
      <c r="R9" s="7"/>
      <c r="S9" s="7">
        <v>92.61</v>
      </c>
      <c r="T9" s="7">
        <f>(0.31+0.36)/2</f>
        <v>0.33499999999999996</v>
      </c>
      <c r="U9" s="7">
        <v>3.04</v>
      </c>
      <c r="V9" s="7">
        <v>0.4</v>
      </c>
      <c r="W9" s="7">
        <v>88</v>
      </c>
      <c r="X9" s="7">
        <v>0.59399999999999997</v>
      </c>
      <c r="Y9" s="22">
        <v>0.18</v>
      </c>
      <c r="Z9" s="9">
        <f t="shared" si="0"/>
        <v>410</v>
      </c>
      <c r="AA9" s="9">
        <f t="shared" si="1"/>
        <v>167.5</v>
      </c>
      <c r="AB9" s="9">
        <f t="shared" si="2"/>
        <v>205</v>
      </c>
      <c r="AC9" s="15">
        <f t="shared" si="3"/>
        <v>83.75</v>
      </c>
      <c r="AD9" s="18">
        <f t="shared" si="4"/>
        <v>1138.8888888888889</v>
      </c>
      <c r="AE9" s="18">
        <f t="shared" si="5"/>
        <v>465.27777777777777</v>
      </c>
    </row>
    <row r="10" spans="1:31" x14ac:dyDescent="0.3">
      <c r="A10" s="7" t="s">
        <v>30</v>
      </c>
      <c r="B10" s="7">
        <v>2001</v>
      </c>
      <c r="C10" s="7">
        <v>9</v>
      </c>
      <c r="D10" s="8" t="s">
        <v>29</v>
      </c>
      <c r="E10" s="7" t="s">
        <v>31</v>
      </c>
      <c r="F10" s="11" t="s">
        <v>76</v>
      </c>
      <c r="G10" s="7">
        <v>800</v>
      </c>
      <c r="H10" s="10" t="s">
        <v>34</v>
      </c>
      <c r="I10" s="11" t="s">
        <v>32</v>
      </c>
      <c r="J10" s="7">
        <v>3</v>
      </c>
      <c r="K10" s="7" t="s">
        <v>5</v>
      </c>
      <c r="L10" s="7">
        <v>2</v>
      </c>
      <c r="M10" s="7">
        <v>100</v>
      </c>
      <c r="N10" s="7">
        <v>1.7</v>
      </c>
      <c r="O10" s="7" t="s">
        <v>38</v>
      </c>
      <c r="P10" s="7">
        <v>1.22</v>
      </c>
      <c r="Q10" s="7">
        <v>62</v>
      </c>
      <c r="R10" s="7"/>
      <c r="S10" s="7">
        <v>93.81</v>
      </c>
      <c r="T10" s="7">
        <v>0.5</v>
      </c>
      <c r="U10" s="7">
        <v>1.51</v>
      </c>
      <c r="V10" s="7">
        <v>0.40600000000000003</v>
      </c>
      <c r="W10" s="7">
        <v>49.5</v>
      </c>
      <c r="X10" s="7">
        <v>0</v>
      </c>
      <c r="Y10" s="22">
        <v>0.14000000000000001</v>
      </c>
      <c r="Z10" s="9">
        <f t="shared" si="0"/>
        <v>600.98522167487681</v>
      </c>
      <c r="AA10" s="9">
        <f t="shared" si="1"/>
        <v>246.30541871921181</v>
      </c>
      <c r="AB10" s="9">
        <f t="shared" si="2"/>
        <v>300.49261083743841</v>
      </c>
      <c r="AC10" s="15">
        <f t="shared" si="3"/>
        <v>123.15270935960591</v>
      </c>
      <c r="AD10" s="18">
        <f t="shared" si="4"/>
        <v>2146.3757916959885</v>
      </c>
      <c r="AE10" s="18">
        <f t="shared" si="5"/>
        <v>879.66220971147072</v>
      </c>
    </row>
    <row r="11" spans="1:31" ht="14" customHeight="1" x14ac:dyDescent="0.3">
      <c r="A11" s="7" t="s">
        <v>30</v>
      </c>
      <c r="B11" s="7">
        <v>2001</v>
      </c>
      <c r="C11" s="7">
        <v>9</v>
      </c>
      <c r="D11" s="8" t="s">
        <v>29</v>
      </c>
      <c r="E11" s="7" t="s">
        <v>31</v>
      </c>
      <c r="F11" s="11" t="s">
        <v>76</v>
      </c>
      <c r="G11" s="7">
        <v>800</v>
      </c>
      <c r="H11" s="7" t="s">
        <v>36</v>
      </c>
      <c r="I11" s="11" t="s">
        <v>153</v>
      </c>
      <c r="J11" s="7">
        <v>3</v>
      </c>
      <c r="K11" s="7" t="s">
        <v>5</v>
      </c>
      <c r="L11" s="7">
        <v>2</v>
      </c>
      <c r="M11" s="7">
        <v>100</v>
      </c>
      <c r="N11" s="7">
        <v>1.7</v>
      </c>
      <c r="O11" s="7" t="s">
        <v>38</v>
      </c>
      <c r="P11" s="7">
        <v>2.6</v>
      </c>
      <c r="Q11" s="7">
        <v>48</v>
      </c>
      <c r="R11" s="7"/>
      <c r="S11" s="7">
        <v>103</v>
      </c>
      <c r="T11" s="7">
        <f>(1.13+0.95)/2</f>
        <v>1.04</v>
      </c>
      <c r="U11" s="7">
        <f>(0.77+1.12)/2</f>
        <v>0.94500000000000006</v>
      </c>
      <c r="V11" s="7">
        <v>0.67600000000000005</v>
      </c>
      <c r="W11" s="7">
        <v>34</v>
      </c>
      <c r="X11" s="7">
        <v>0</v>
      </c>
      <c r="Y11" s="22">
        <v>0.14000000000000001</v>
      </c>
      <c r="Z11" s="9">
        <f>P11*M11*L11/V11</f>
        <v>769.23076923076917</v>
      </c>
      <c r="AA11" s="9">
        <f>T11*M11*L11/V11</f>
        <v>307.69230769230768</v>
      </c>
      <c r="AB11" s="9">
        <f>P11*M11/V11</f>
        <v>384.61538461538458</v>
      </c>
      <c r="AC11" s="15">
        <f>T11*M11/V11</f>
        <v>153.84615384615384</v>
      </c>
      <c r="AD11" s="18">
        <f t="shared" si="4"/>
        <v>2747.2527472527468</v>
      </c>
      <c r="AE11" s="18">
        <f t="shared" si="5"/>
        <v>1098.9010989010987</v>
      </c>
    </row>
    <row r="12" spans="1:31" ht="14" customHeight="1" x14ac:dyDescent="0.3">
      <c r="A12" s="7" t="s">
        <v>30</v>
      </c>
      <c r="B12" s="7">
        <v>2001</v>
      </c>
      <c r="C12" s="7">
        <v>9</v>
      </c>
      <c r="D12" s="8" t="s">
        <v>29</v>
      </c>
      <c r="E12" s="7" t="s">
        <v>31</v>
      </c>
      <c r="F12" s="11" t="s">
        <v>76</v>
      </c>
      <c r="G12" s="7">
        <v>800</v>
      </c>
      <c r="H12" s="7" t="s">
        <v>36</v>
      </c>
      <c r="I12" s="11" t="s">
        <v>39</v>
      </c>
      <c r="J12" s="7">
        <v>3</v>
      </c>
      <c r="K12" s="7" t="s">
        <v>5</v>
      </c>
      <c r="L12" s="7">
        <v>2</v>
      </c>
      <c r="M12" s="7">
        <v>100</v>
      </c>
      <c r="N12" s="7">
        <v>1.7</v>
      </c>
      <c r="O12" s="7" t="s">
        <v>38</v>
      </c>
      <c r="P12" s="7">
        <v>2.6</v>
      </c>
      <c r="Q12" s="7">
        <v>43</v>
      </c>
      <c r="R12" s="7"/>
      <c r="S12" s="7">
        <v>108.86</v>
      </c>
      <c r="T12" s="7">
        <f>(1.36+1.27)/2</f>
        <v>1.3149999999999999</v>
      </c>
      <c r="U12" s="7">
        <f>(0.96+1.37)/2</f>
        <v>1.165</v>
      </c>
      <c r="V12" s="7">
        <v>0.42</v>
      </c>
      <c r="W12" s="7">
        <v>21</v>
      </c>
      <c r="X12" s="7">
        <v>0</v>
      </c>
      <c r="Y12" s="22">
        <v>0.11</v>
      </c>
      <c r="Z12" s="9">
        <f t="shared" si="0"/>
        <v>1238.0952380952381</v>
      </c>
      <c r="AA12" s="9">
        <f t="shared" si="1"/>
        <v>626.19047619047626</v>
      </c>
      <c r="AB12" s="9">
        <f t="shared" si="2"/>
        <v>619.04761904761904</v>
      </c>
      <c r="AC12" s="15">
        <f t="shared" si="3"/>
        <v>313.09523809523813</v>
      </c>
      <c r="AD12" s="18">
        <f t="shared" si="4"/>
        <v>5627.7056277056272</v>
      </c>
      <c r="AE12" s="18">
        <f t="shared" si="5"/>
        <v>2846.3203463203467</v>
      </c>
    </row>
    <row r="13" spans="1:31" ht="28" x14ac:dyDescent="0.3">
      <c r="A13" s="7" t="s">
        <v>60</v>
      </c>
      <c r="B13" s="7">
        <v>2002</v>
      </c>
      <c r="C13" s="7">
        <v>5</v>
      </c>
      <c r="D13" s="8" t="s">
        <v>59</v>
      </c>
      <c r="E13" s="7" t="s">
        <v>61</v>
      </c>
      <c r="F13" s="7" t="s">
        <v>62</v>
      </c>
      <c r="G13" s="7">
        <v>350</v>
      </c>
      <c r="H13" s="7" t="s">
        <v>35</v>
      </c>
      <c r="I13" s="13" t="s">
        <v>63</v>
      </c>
      <c r="J13" s="7">
        <v>3</v>
      </c>
      <c r="K13" s="7" t="s">
        <v>64</v>
      </c>
      <c r="L13" s="7">
        <v>2.6</v>
      </c>
      <c r="M13" s="7">
        <v>16</v>
      </c>
      <c r="N13" s="7">
        <v>2.2000000000000002</v>
      </c>
      <c r="O13" s="7">
        <v>100</v>
      </c>
      <c r="P13" s="7">
        <v>80</v>
      </c>
      <c r="Q13" s="7">
        <v>57</v>
      </c>
      <c r="R13" s="7"/>
      <c r="S13" s="7"/>
      <c r="T13" s="7">
        <v>56</v>
      </c>
      <c r="U13" s="7">
        <v>0.28000000000000003</v>
      </c>
      <c r="V13" s="7">
        <f>3*2.6</f>
        <v>7.8000000000000007</v>
      </c>
      <c r="W13" s="7"/>
      <c r="X13" s="7"/>
      <c r="Y13" s="22">
        <v>0.04</v>
      </c>
      <c r="Z13" s="9">
        <f t="shared" si="0"/>
        <v>426.66666666666663</v>
      </c>
      <c r="AA13" s="9">
        <f t="shared" si="1"/>
        <v>298.66666666666663</v>
      </c>
      <c r="AB13" s="9">
        <f t="shared" si="2"/>
        <v>164.10256410256409</v>
      </c>
      <c r="AC13" s="15">
        <f t="shared" si="3"/>
        <v>114.87179487179486</v>
      </c>
      <c r="AD13" s="18">
        <f t="shared" si="4"/>
        <v>4102.5641025641025</v>
      </c>
      <c r="AE13" s="18">
        <f t="shared" si="5"/>
        <v>2871.7948717948716</v>
      </c>
    </row>
    <row r="14" spans="1:31" x14ac:dyDescent="0.3">
      <c r="A14" s="7" t="s">
        <v>60</v>
      </c>
      <c r="B14" s="7">
        <v>2002</v>
      </c>
      <c r="C14" s="7">
        <v>5</v>
      </c>
      <c r="D14" s="8" t="s">
        <v>67</v>
      </c>
      <c r="E14" s="7" t="s">
        <v>65</v>
      </c>
      <c r="F14" s="12" t="s">
        <v>62</v>
      </c>
      <c r="G14" s="7">
        <v>350</v>
      </c>
      <c r="H14" s="7" t="s">
        <v>36</v>
      </c>
      <c r="I14" s="11" t="s">
        <v>66</v>
      </c>
      <c r="J14" s="7">
        <v>3</v>
      </c>
      <c r="K14" s="7" t="s">
        <v>5</v>
      </c>
      <c r="L14" s="7">
        <v>1.5</v>
      </c>
      <c r="M14" s="7">
        <v>130</v>
      </c>
      <c r="N14" s="7"/>
      <c r="O14" s="7" t="s">
        <v>38</v>
      </c>
      <c r="P14" s="7">
        <v>2.7</v>
      </c>
      <c r="Q14" s="7">
        <v>52</v>
      </c>
      <c r="R14" s="7"/>
      <c r="S14" s="7"/>
      <c r="T14" s="7">
        <v>1</v>
      </c>
      <c r="U14" s="7"/>
      <c r="V14" s="7">
        <f>0.275</f>
        <v>0.27500000000000002</v>
      </c>
      <c r="W14" s="7"/>
      <c r="X14" s="7">
        <v>0</v>
      </c>
      <c r="Y14" s="22">
        <v>0.03</v>
      </c>
      <c r="Z14" s="9">
        <f t="shared" si="0"/>
        <v>1914.5454545454545</v>
      </c>
      <c r="AA14" s="9">
        <f t="shared" si="1"/>
        <v>709.09090909090901</v>
      </c>
      <c r="AB14" s="9">
        <f t="shared" si="2"/>
        <v>1276.3636363636363</v>
      </c>
      <c r="AC14" s="15">
        <f t="shared" si="3"/>
        <v>472.72727272727269</v>
      </c>
      <c r="AD14" s="18">
        <f t="shared" si="4"/>
        <v>42545.454545454544</v>
      </c>
      <c r="AE14" s="18">
        <f t="shared" si="5"/>
        <v>15757.575757575756</v>
      </c>
    </row>
    <row r="15" spans="1:31" ht="28.5" thickBot="1" x14ac:dyDescent="0.35">
      <c r="A15" s="23" t="s">
        <v>47</v>
      </c>
      <c r="B15" s="23">
        <v>2003</v>
      </c>
      <c r="C15" s="23">
        <v>10</v>
      </c>
      <c r="D15" s="24" t="s">
        <v>155</v>
      </c>
      <c r="E15" s="23" t="s">
        <v>75</v>
      </c>
      <c r="F15" s="23" t="s">
        <v>76</v>
      </c>
      <c r="G15" s="23">
        <v>600</v>
      </c>
      <c r="H15" s="23" t="s">
        <v>78</v>
      </c>
      <c r="I15" s="47" t="s">
        <v>79</v>
      </c>
      <c r="J15" s="23">
        <v>3</v>
      </c>
      <c r="K15" s="23" t="s">
        <v>5</v>
      </c>
      <c r="L15" s="23">
        <v>1.5</v>
      </c>
      <c r="M15" s="23">
        <v>120</v>
      </c>
      <c r="N15" s="23"/>
      <c r="O15" s="23" t="s">
        <v>38</v>
      </c>
      <c r="P15" s="23">
        <v>7</v>
      </c>
      <c r="Q15" s="23">
        <v>46</v>
      </c>
      <c r="R15" s="23"/>
      <c r="S15" s="23"/>
      <c r="T15" s="23">
        <v>3.3</v>
      </c>
      <c r="U15" s="23">
        <f>(0.315+0.68)/2</f>
        <v>0.49750000000000005</v>
      </c>
      <c r="V15" s="23">
        <v>0.33</v>
      </c>
      <c r="W15" s="23">
        <v>7.3</v>
      </c>
      <c r="X15" s="23">
        <v>0</v>
      </c>
      <c r="Y15" s="26">
        <v>0.05</v>
      </c>
      <c r="Z15" s="27">
        <f t="shared" si="0"/>
        <v>3818.181818181818</v>
      </c>
      <c r="AA15" s="27">
        <f t="shared" si="1"/>
        <v>1800</v>
      </c>
      <c r="AB15" s="27">
        <f t="shared" si="2"/>
        <v>2545.4545454545455</v>
      </c>
      <c r="AC15" s="28">
        <f t="shared" si="3"/>
        <v>1200</v>
      </c>
      <c r="AD15" s="29">
        <f t="shared" si="4"/>
        <v>50909.090909090904</v>
      </c>
      <c r="AE15" s="29">
        <f t="shared" si="5"/>
        <v>24000</v>
      </c>
    </row>
    <row r="16" spans="1:31" s="46" customFormat="1" ht="14" customHeight="1" thickBot="1" x14ac:dyDescent="0.35">
      <c r="A16" s="37" t="s">
        <v>47</v>
      </c>
      <c r="B16" s="38">
        <v>2003</v>
      </c>
      <c r="C16" s="38">
        <v>3</v>
      </c>
      <c r="D16" s="39" t="s">
        <v>82</v>
      </c>
      <c r="E16" s="38" t="s">
        <v>75</v>
      </c>
      <c r="F16" s="40" t="s">
        <v>76</v>
      </c>
      <c r="G16" s="38">
        <v>800</v>
      </c>
      <c r="H16" s="48" t="s">
        <v>78</v>
      </c>
      <c r="I16" s="40" t="s">
        <v>152</v>
      </c>
      <c r="J16" s="38">
        <v>3</v>
      </c>
      <c r="K16" s="38" t="s">
        <v>5</v>
      </c>
      <c r="L16" s="38">
        <v>2</v>
      </c>
      <c r="M16" s="38">
        <v>120</v>
      </c>
      <c r="N16" s="38"/>
      <c r="O16" s="38" t="s">
        <v>38</v>
      </c>
      <c r="P16" s="38">
        <v>4.5</v>
      </c>
      <c r="Q16" s="38">
        <v>65</v>
      </c>
      <c r="R16" s="38"/>
      <c r="S16" s="38"/>
      <c r="T16" s="38">
        <v>1.49</v>
      </c>
      <c r="U16" s="38">
        <f>(0.42+0.85)/2</f>
        <v>0.63500000000000001</v>
      </c>
      <c r="V16" s="38">
        <v>0.4</v>
      </c>
      <c r="W16" s="38">
        <v>10</v>
      </c>
      <c r="X16" s="38">
        <v>0</v>
      </c>
      <c r="Y16" s="42">
        <v>0.06</v>
      </c>
      <c r="Z16" s="43">
        <f t="shared" si="0"/>
        <v>2700</v>
      </c>
      <c r="AA16" s="43">
        <f t="shared" si="1"/>
        <v>894</v>
      </c>
      <c r="AB16" s="43">
        <f t="shared" si="2"/>
        <v>1350</v>
      </c>
      <c r="AC16" s="44">
        <f t="shared" si="3"/>
        <v>447</v>
      </c>
      <c r="AD16" s="45">
        <f t="shared" si="4"/>
        <v>22500</v>
      </c>
      <c r="AE16" s="45">
        <f t="shared" si="5"/>
        <v>7450</v>
      </c>
    </row>
    <row r="17" spans="1:31" x14ac:dyDescent="0.3">
      <c r="A17" s="30" t="s">
        <v>47</v>
      </c>
      <c r="B17" s="30">
        <v>2004</v>
      </c>
      <c r="C17" s="30">
        <v>11</v>
      </c>
      <c r="D17" s="31" t="s">
        <v>68</v>
      </c>
      <c r="E17" s="30" t="s">
        <v>104</v>
      </c>
      <c r="F17" s="32" t="s">
        <v>62</v>
      </c>
      <c r="G17" s="30">
        <v>350</v>
      </c>
      <c r="H17" s="30" t="s">
        <v>69</v>
      </c>
      <c r="I17" s="32" t="s">
        <v>70</v>
      </c>
      <c r="J17" s="30">
        <v>3</v>
      </c>
      <c r="K17" s="30" t="s">
        <v>5</v>
      </c>
      <c r="L17" s="30">
        <v>2</v>
      </c>
      <c r="M17" s="30">
        <v>500</v>
      </c>
      <c r="N17" s="30"/>
      <c r="O17" s="30" t="s">
        <v>38</v>
      </c>
      <c r="P17" s="30">
        <v>1.9</v>
      </c>
      <c r="Q17" s="30">
        <v>52</v>
      </c>
      <c r="R17" s="30"/>
      <c r="S17" s="30"/>
      <c r="T17" s="30">
        <v>1</v>
      </c>
      <c r="U17" s="30">
        <f>3.1/2</f>
        <v>1.55</v>
      </c>
      <c r="V17" s="30">
        <v>0.32400000000000001</v>
      </c>
      <c r="W17" s="30">
        <v>13</v>
      </c>
      <c r="X17" s="30">
        <v>0</v>
      </c>
      <c r="Y17" s="33">
        <v>0.02</v>
      </c>
      <c r="Z17" s="34">
        <f t="shared" si="0"/>
        <v>5864.1975308641977</v>
      </c>
      <c r="AA17" s="34">
        <f t="shared" si="1"/>
        <v>3086.4197530864199</v>
      </c>
      <c r="AB17" s="34">
        <f t="shared" si="2"/>
        <v>2932.0987654320988</v>
      </c>
      <c r="AC17" s="35">
        <f t="shared" si="3"/>
        <v>1543.2098765432099</v>
      </c>
      <c r="AD17" s="36">
        <f t="shared" si="4"/>
        <v>146604.93827160494</v>
      </c>
      <c r="AE17" s="36">
        <f t="shared" si="5"/>
        <v>77160.493827160491</v>
      </c>
    </row>
    <row r="18" spans="1:31" ht="14.5" thickBot="1" x14ac:dyDescent="0.35">
      <c r="A18" s="23" t="s">
        <v>47</v>
      </c>
      <c r="B18" s="23">
        <v>2005</v>
      </c>
      <c r="C18" s="23">
        <v>7</v>
      </c>
      <c r="D18" s="24" t="s">
        <v>80</v>
      </c>
      <c r="E18" s="23" t="s">
        <v>61</v>
      </c>
      <c r="F18" s="25" t="s">
        <v>62</v>
      </c>
      <c r="G18" s="23">
        <v>350</v>
      </c>
      <c r="H18" s="23" t="s">
        <v>78</v>
      </c>
      <c r="I18" s="25" t="s">
        <v>81</v>
      </c>
      <c r="J18" s="23">
        <v>3</v>
      </c>
      <c r="K18" s="23" t="s">
        <v>5</v>
      </c>
      <c r="L18" s="23">
        <v>1.5</v>
      </c>
      <c r="M18" s="23">
        <v>150</v>
      </c>
      <c r="N18" s="23"/>
      <c r="O18" s="23" t="s">
        <v>38</v>
      </c>
      <c r="P18" s="23">
        <v>2.85</v>
      </c>
      <c r="Q18" s="23">
        <v>58.6</v>
      </c>
      <c r="R18" s="23"/>
      <c r="S18" s="23"/>
      <c r="T18" s="23">
        <v>1.0349999999999999</v>
      </c>
      <c r="U18" s="23">
        <f>(2.8+1.7)/2</f>
        <v>2.25</v>
      </c>
      <c r="V18" s="23">
        <v>4.4999999999999998E-2</v>
      </c>
      <c r="W18" s="23">
        <v>2.02</v>
      </c>
      <c r="X18" s="23">
        <v>0</v>
      </c>
      <c r="Y18" s="26">
        <v>0.02</v>
      </c>
      <c r="Z18" s="27">
        <f t="shared" si="0"/>
        <v>14250</v>
      </c>
      <c r="AA18" s="27">
        <f t="shared" si="1"/>
        <v>5175</v>
      </c>
      <c r="AB18" s="27">
        <f t="shared" si="2"/>
        <v>9500</v>
      </c>
      <c r="AC18" s="28">
        <f t="shared" si="3"/>
        <v>3450</v>
      </c>
      <c r="AD18" s="29">
        <f t="shared" si="4"/>
        <v>475000</v>
      </c>
      <c r="AE18" s="29">
        <f t="shared" si="5"/>
        <v>172500</v>
      </c>
    </row>
    <row r="19" spans="1:31" s="46" customFormat="1" ht="28.5" thickBot="1" x14ac:dyDescent="0.35">
      <c r="A19" s="37" t="s">
        <v>47</v>
      </c>
      <c r="B19" s="38">
        <v>2005</v>
      </c>
      <c r="C19" s="38">
        <v>3</v>
      </c>
      <c r="D19" s="39" t="s">
        <v>87</v>
      </c>
      <c r="E19" s="38" t="s">
        <v>88</v>
      </c>
      <c r="F19" s="40" t="s">
        <v>89</v>
      </c>
      <c r="G19" s="38">
        <v>500</v>
      </c>
      <c r="H19" s="41" t="s">
        <v>36</v>
      </c>
      <c r="I19" s="40" t="s">
        <v>154</v>
      </c>
      <c r="J19" s="38">
        <v>3</v>
      </c>
      <c r="K19" s="38" t="s">
        <v>5</v>
      </c>
      <c r="L19" s="38">
        <v>2</v>
      </c>
      <c r="M19" s="38">
        <v>120</v>
      </c>
      <c r="N19" s="38"/>
      <c r="O19" s="38" t="s">
        <v>38</v>
      </c>
      <c r="P19" s="38">
        <v>4.5999999999999996</v>
      </c>
      <c r="Q19" s="38">
        <v>58</v>
      </c>
      <c r="R19" s="38"/>
      <c r="S19" s="38"/>
      <c r="T19" s="38">
        <f>(3.28+1.31)/2</f>
        <v>2.2949999999999999</v>
      </c>
      <c r="U19" s="38">
        <v>0.46</v>
      </c>
      <c r="V19" s="38">
        <v>0.38</v>
      </c>
      <c r="W19" s="38">
        <v>7</v>
      </c>
      <c r="X19" s="38">
        <v>0</v>
      </c>
      <c r="Y19" s="42">
        <v>0.02</v>
      </c>
      <c r="Z19" s="43">
        <f t="shared" si="0"/>
        <v>2905.2631578947367</v>
      </c>
      <c r="AA19" s="43">
        <f t="shared" si="1"/>
        <v>1449.4736842105262</v>
      </c>
      <c r="AB19" s="43">
        <f t="shared" si="2"/>
        <v>1452.6315789473683</v>
      </c>
      <c r="AC19" s="44">
        <f t="shared" si="3"/>
        <v>724.73684210526312</v>
      </c>
      <c r="AD19" s="45">
        <f t="shared" si="4"/>
        <v>72631.578947368413</v>
      </c>
      <c r="AE19" s="45">
        <f t="shared" si="5"/>
        <v>36236.842105263153</v>
      </c>
    </row>
    <row r="20" spans="1:31" ht="14" customHeight="1" x14ac:dyDescent="0.3">
      <c r="A20" s="30" t="s">
        <v>30</v>
      </c>
      <c r="B20" s="30">
        <v>2007</v>
      </c>
      <c r="C20" s="30">
        <v>7</v>
      </c>
      <c r="D20" s="31" t="s">
        <v>94</v>
      </c>
      <c r="E20" s="30" t="s">
        <v>95</v>
      </c>
      <c r="F20" s="32" t="s">
        <v>96</v>
      </c>
      <c r="G20" s="30">
        <v>500</v>
      </c>
      <c r="H20" t="s">
        <v>78</v>
      </c>
      <c r="I20" s="32" t="s">
        <v>97</v>
      </c>
      <c r="J20" s="30">
        <v>3</v>
      </c>
      <c r="K20" s="30" t="s">
        <v>5</v>
      </c>
      <c r="L20" s="30">
        <v>3</v>
      </c>
      <c r="M20" s="30">
        <v>500</v>
      </c>
      <c r="N20" s="30"/>
      <c r="O20" s="30">
        <v>113</v>
      </c>
      <c r="P20" s="30">
        <v>1.1000000000000001</v>
      </c>
      <c r="Q20" s="30">
        <v>56</v>
      </c>
      <c r="R20" s="30">
        <v>83</v>
      </c>
      <c r="S20" s="30">
        <v>84</v>
      </c>
      <c r="T20" s="30">
        <v>1.29</v>
      </c>
      <c r="U20" s="30">
        <v>0.7</v>
      </c>
      <c r="V20" s="30">
        <v>0.105</v>
      </c>
      <c r="W20" s="30">
        <v>11.35</v>
      </c>
      <c r="X20" s="30">
        <v>0</v>
      </c>
      <c r="Y20" s="33">
        <v>2.4E-2</v>
      </c>
      <c r="Z20" s="34">
        <f t="shared" si="0"/>
        <v>15714.285714285716</v>
      </c>
      <c r="AA20" s="34">
        <f t="shared" si="1"/>
        <v>18428.571428571428</v>
      </c>
      <c r="AB20" s="34">
        <f t="shared" si="2"/>
        <v>5238.0952380952385</v>
      </c>
      <c r="AC20" s="35">
        <f t="shared" si="3"/>
        <v>6142.8571428571431</v>
      </c>
      <c r="AD20" s="36">
        <f t="shared" si="4"/>
        <v>218253.96825396825</v>
      </c>
      <c r="AE20" s="36">
        <f t="shared" si="5"/>
        <v>255952.38095238095</v>
      </c>
    </row>
    <row r="21" spans="1:31" ht="14" customHeight="1" x14ac:dyDescent="0.3">
      <c r="A21" s="7" t="s">
        <v>47</v>
      </c>
      <c r="B21" s="7">
        <v>2011</v>
      </c>
      <c r="C21" s="7">
        <v>2</v>
      </c>
      <c r="D21" s="8" t="s">
        <v>83</v>
      </c>
      <c r="E21" s="7" t="s">
        <v>61</v>
      </c>
      <c r="F21" s="12" t="s">
        <v>84</v>
      </c>
      <c r="G21" s="7">
        <v>350</v>
      </c>
      <c r="H21" s="7" t="s">
        <v>90</v>
      </c>
      <c r="I21" s="11" t="s">
        <v>85</v>
      </c>
      <c r="J21" s="7">
        <v>3</v>
      </c>
      <c r="K21" s="7" t="s">
        <v>5</v>
      </c>
      <c r="L21" s="7">
        <v>1.5</v>
      </c>
      <c r="M21" s="7">
        <v>150</v>
      </c>
      <c r="N21" s="7"/>
      <c r="O21" s="7">
        <v>110</v>
      </c>
      <c r="P21" s="7">
        <v>4.4000000000000004</v>
      </c>
      <c r="Q21" s="7">
        <v>57</v>
      </c>
      <c r="R21" s="7"/>
      <c r="S21" s="7"/>
      <c r="T21" s="7">
        <v>1.8</v>
      </c>
      <c r="U21" s="7">
        <f>(2.2+1.6)/2</f>
        <v>1.9000000000000001</v>
      </c>
      <c r="V21" s="7">
        <v>0.03</v>
      </c>
      <c r="W21" s="7">
        <v>1.6</v>
      </c>
      <c r="X21" s="7">
        <v>750</v>
      </c>
      <c r="Y21" s="22">
        <v>0.02</v>
      </c>
      <c r="Z21" s="9">
        <f t="shared" si="0"/>
        <v>33000</v>
      </c>
      <c r="AA21" s="9">
        <f t="shared" si="1"/>
        <v>13500</v>
      </c>
      <c r="AB21" s="9">
        <f t="shared" si="2"/>
        <v>22000</v>
      </c>
      <c r="AC21" s="15">
        <f t="shared" si="3"/>
        <v>9000</v>
      </c>
      <c r="AD21" s="18">
        <f t="shared" si="4"/>
        <v>1100000</v>
      </c>
      <c r="AE21" s="18">
        <f t="shared" si="5"/>
        <v>450000</v>
      </c>
    </row>
    <row r="22" spans="1:31" ht="28" x14ac:dyDescent="0.3">
      <c r="A22" s="7" t="s">
        <v>47</v>
      </c>
      <c r="B22" s="7">
        <v>2011</v>
      </c>
      <c r="C22" s="7">
        <v>2</v>
      </c>
      <c r="D22" s="8" t="s">
        <v>98</v>
      </c>
      <c r="E22" s="7" t="s">
        <v>105</v>
      </c>
      <c r="F22" s="7" t="s">
        <v>99</v>
      </c>
      <c r="G22" s="7">
        <v>350</v>
      </c>
      <c r="H22" s="7" t="s">
        <v>78</v>
      </c>
      <c r="I22" s="11" t="s">
        <v>100</v>
      </c>
      <c r="J22" s="7">
        <v>3</v>
      </c>
      <c r="K22" s="7" t="s">
        <v>5</v>
      </c>
      <c r="L22" s="7">
        <v>2</v>
      </c>
      <c r="M22" s="7">
        <v>800</v>
      </c>
      <c r="N22" s="7"/>
      <c r="O22" s="7" t="s">
        <v>38</v>
      </c>
      <c r="P22" s="7">
        <v>3.6</v>
      </c>
      <c r="Q22" s="7">
        <v>58</v>
      </c>
      <c r="R22" s="7"/>
      <c r="S22" s="7"/>
      <c r="T22" s="7">
        <v>1.7</v>
      </c>
      <c r="U22" s="7">
        <v>0.7</v>
      </c>
      <c r="V22" s="7">
        <v>0.26</v>
      </c>
      <c r="W22" s="7">
        <v>2.2000000000000002</v>
      </c>
      <c r="X22" s="7">
        <v>0</v>
      </c>
      <c r="Y22" s="22">
        <v>1.4E-2</v>
      </c>
      <c r="Z22" s="9">
        <f t="shared" si="0"/>
        <v>22153.846153846152</v>
      </c>
      <c r="AA22" s="9">
        <f t="shared" si="1"/>
        <v>10461.538461538461</v>
      </c>
      <c r="AB22" s="9">
        <f t="shared" si="2"/>
        <v>11076.923076923076</v>
      </c>
      <c r="AC22" s="15">
        <f t="shared" si="3"/>
        <v>5230.7692307692305</v>
      </c>
      <c r="AD22" s="18">
        <f t="shared" si="4"/>
        <v>791208.7912087912</v>
      </c>
      <c r="AE22" s="18">
        <f t="shared" si="5"/>
        <v>373626.37362637359</v>
      </c>
    </row>
    <row r="23" spans="1:31" ht="14" customHeight="1" thickBot="1" x14ac:dyDescent="0.35">
      <c r="A23" s="23" t="s">
        <v>47</v>
      </c>
      <c r="B23" s="23">
        <v>2012</v>
      </c>
      <c r="C23" s="23">
        <v>9</v>
      </c>
      <c r="D23" s="24" t="s">
        <v>91</v>
      </c>
      <c r="E23" s="23" t="s">
        <v>106</v>
      </c>
      <c r="F23" s="23" t="s">
        <v>92</v>
      </c>
      <c r="G23" s="23">
        <v>65</v>
      </c>
      <c r="H23" s="23" t="s">
        <v>78</v>
      </c>
      <c r="I23" s="49" t="s">
        <v>93</v>
      </c>
      <c r="J23" s="23">
        <v>3</v>
      </c>
      <c r="K23" s="23" t="s">
        <v>5</v>
      </c>
      <c r="L23" s="23">
        <f>0.0204/0.017</f>
        <v>1.2</v>
      </c>
      <c r="M23" s="23">
        <v>500</v>
      </c>
      <c r="N23" s="23"/>
      <c r="O23" s="23" t="s">
        <v>38</v>
      </c>
      <c r="P23" s="23">
        <v>2</v>
      </c>
      <c r="Q23" s="23">
        <v>52</v>
      </c>
      <c r="R23" s="23"/>
      <c r="S23" s="23"/>
      <c r="T23" s="23">
        <v>0.65</v>
      </c>
      <c r="U23" s="23">
        <v>1.25</v>
      </c>
      <c r="V23" s="23">
        <v>2.0400000000000001E-2</v>
      </c>
      <c r="W23" s="23">
        <v>1.1499999999999999</v>
      </c>
      <c r="X23" s="23">
        <v>0</v>
      </c>
      <c r="Y23" s="26">
        <v>8.8000000000000005E-3</v>
      </c>
      <c r="Z23" s="27">
        <f t="shared" si="0"/>
        <v>58823.529411764699</v>
      </c>
      <c r="AA23" s="27">
        <f t="shared" si="1"/>
        <v>19117.647058823528</v>
      </c>
      <c r="AB23" s="27">
        <f t="shared" si="2"/>
        <v>49019.607843137252</v>
      </c>
      <c r="AC23" s="28">
        <f t="shared" si="3"/>
        <v>15931.372549019607</v>
      </c>
      <c r="AD23" s="29">
        <f t="shared" si="4"/>
        <v>5570409.9821746871</v>
      </c>
      <c r="AE23" s="29">
        <f t="shared" si="5"/>
        <v>1810383.2442067734</v>
      </c>
    </row>
    <row r="24" spans="1:31" s="46" customFormat="1" ht="14" customHeight="1" thickBot="1" x14ac:dyDescent="0.35">
      <c r="A24" s="37" t="s">
        <v>47</v>
      </c>
      <c r="B24" s="38">
        <v>2013</v>
      </c>
      <c r="C24" s="38">
        <v>2</v>
      </c>
      <c r="D24" s="39" t="s">
        <v>101</v>
      </c>
      <c r="E24" s="38" t="s">
        <v>107</v>
      </c>
      <c r="F24" s="38" t="s">
        <v>102</v>
      </c>
      <c r="G24" s="38">
        <v>350</v>
      </c>
      <c r="H24" s="41" t="s">
        <v>103</v>
      </c>
      <c r="I24" s="40" t="s">
        <v>156</v>
      </c>
      <c r="J24" s="38">
        <v>3</v>
      </c>
      <c r="K24" s="38" t="s">
        <v>5</v>
      </c>
      <c r="L24" s="38">
        <v>2</v>
      </c>
      <c r="M24" s="38">
        <v>1000</v>
      </c>
      <c r="N24" s="38"/>
      <c r="O24" s="38" t="s">
        <v>38</v>
      </c>
      <c r="P24" s="38">
        <v>1.37</v>
      </c>
      <c r="Q24" s="38">
        <v>83.2</v>
      </c>
      <c r="R24" s="38"/>
      <c r="S24" s="38">
        <v>80</v>
      </c>
      <c r="T24" s="38">
        <v>0.59</v>
      </c>
      <c r="U24" s="38">
        <v>1.28</v>
      </c>
      <c r="V24" s="38">
        <v>0.14399999999999999</v>
      </c>
      <c r="W24" s="38">
        <v>2.6</v>
      </c>
      <c r="X24" s="38">
        <v>400</v>
      </c>
      <c r="Y24" s="42">
        <v>1.6E-2</v>
      </c>
      <c r="Z24" s="43">
        <f t="shared" si="0"/>
        <v>19027.777777777781</v>
      </c>
      <c r="AA24" s="43">
        <f t="shared" si="1"/>
        <v>8194.4444444444453</v>
      </c>
      <c r="AB24" s="43">
        <f t="shared" si="2"/>
        <v>9513.8888888888905</v>
      </c>
      <c r="AC24" s="44">
        <f t="shared" si="3"/>
        <v>4097.2222222222226</v>
      </c>
      <c r="AD24" s="45">
        <f t="shared" si="4"/>
        <v>594618.05555555562</v>
      </c>
      <c r="AE24" s="45">
        <f t="shared" si="5"/>
        <v>256076.38888888891</v>
      </c>
    </row>
    <row r="25" spans="1:31" ht="14" customHeight="1" x14ac:dyDescent="0.3">
      <c r="A25" s="30" t="s">
        <v>112</v>
      </c>
      <c r="B25" s="30">
        <v>2014</v>
      </c>
      <c r="C25" s="30">
        <v>2</v>
      </c>
      <c r="D25" s="31" t="s">
        <v>111</v>
      </c>
      <c r="E25" s="30" t="s">
        <v>113</v>
      </c>
      <c r="F25" s="30" t="s">
        <v>114</v>
      </c>
      <c r="G25" s="30">
        <v>180</v>
      </c>
      <c r="H25" s="30" t="s">
        <v>103</v>
      </c>
      <c r="I25" s="32" t="s">
        <v>115</v>
      </c>
      <c r="J25" s="30">
        <v>3</v>
      </c>
      <c r="K25" s="30" t="s">
        <v>5</v>
      </c>
      <c r="L25" s="30">
        <v>0.9</v>
      </c>
      <c r="M25" s="30">
        <v>500</v>
      </c>
      <c r="N25" s="30"/>
      <c r="O25" s="30" t="s">
        <v>38</v>
      </c>
      <c r="P25" s="30">
        <v>1.34</v>
      </c>
      <c r="Q25" s="30">
        <v>52.7</v>
      </c>
      <c r="R25" s="30"/>
      <c r="S25" s="30"/>
      <c r="T25" s="30">
        <v>0.62</v>
      </c>
      <c r="U25" s="30">
        <v>2.5</v>
      </c>
      <c r="V25" s="30">
        <v>6.1999999999999998E-3</v>
      </c>
      <c r="W25" s="30">
        <v>0.87</v>
      </c>
      <c r="X25" s="30">
        <v>253</v>
      </c>
      <c r="Y25" s="33">
        <v>7.0000000000000001E-3</v>
      </c>
      <c r="Z25" s="34">
        <f t="shared" si="0"/>
        <v>97258.06451612903</v>
      </c>
      <c r="AA25" s="34">
        <f t="shared" si="1"/>
        <v>45000</v>
      </c>
      <c r="AB25" s="34">
        <f t="shared" si="2"/>
        <v>108064.51612903226</v>
      </c>
      <c r="AC25" s="35">
        <f t="shared" si="3"/>
        <v>50000</v>
      </c>
      <c r="AD25" s="36">
        <f t="shared" si="4"/>
        <v>15437788.01843318</v>
      </c>
      <c r="AE25" s="36">
        <f t="shared" si="5"/>
        <v>7142857.1428571427</v>
      </c>
    </row>
    <row r="26" spans="1:31" ht="14" customHeight="1" x14ac:dyDescent="0.3">
      <c r="A26" s="7" t="s">
        <v>47</v>
      </c>
      <c r="B26" s="7">
        <v>2015</v>
      </c>
      <c r="C26" s="7">
        <v>2</v>
      </c>
      <c r="D26" s="8" t="s">
        <v>109</v>
      </c>
      <c r="E26" s="7" t="s">
        <v>110</v>
      </c>
      <c r="F26" s="7" t="s">
        <v>116</v>
      </c>
      <c r="G26" s="7">
        <v>130</v>
      </c>
      <c r="H26" s="7" t="s">
        <v>117</v>
      </c>
      <c r="I26" s="12" t="s">
        <v>118</v>
      </c>
      <c r="J26" s="7">
        <v>3</v>
      </c>
      <c r="K26" s="7" t="s">
        <v>5</v>
      </c>
      <c r="L26" s="7">
        <v>1.2</v>
      </c>
      <c r="M26" s="7">
        <v>560</v>
      </c>
      <c r="N26" s="7"/>
      <c r="O26" s="7" t="s">
        <v>38</v>
      </c>
      <c r="P26" s="7">
        <v>3.49</v>
      </c>
      <c r="Q26" s="7">
        <v>53</v>
      </c>
      <c r="R26" s="7"/>
      <c r="S26" s="7"/>
      <c r="T26" s="7">
        <v>0.86</v>
      </c>
      <c r="U26" s="7">
        <v>0.9</v>
      </c>
      <c r="V26" s="7">
        <v>1.2699999999999999E-2</v>
      </c>
      <c r="W26" s="7">
        <v>0.58699999999999997</v>
      </c>
      <c r="X26" s="7">
        <v>247.56</v>
      </c>
      <c r="Y26" s="22">
        <f>0.04*0.08</f>
        <v>3.2000000000000002E-3</v>
      </c>
      <c r="Z26" s="9">
        <f t="shared" si="0"/>
        <v>184667.71653543311</v>
      </c>
      <c r="AA26" s="9">
        <f t="shared" si="1"/>
        <v>45505.511811023622</v>
      </c>
      <c r="AB26" s="9">
        <f t="shared" si="2"/>
        <v>153889.76377952757</v>
      </c>
      <c r="AC26" s="15">
        <f t="shared" si="3"/>
        <v>37921.259842519685</v>
      </c>
      <c r="AD26" s="18">
        <f t="shared" si="4"/>
        <v>48090551.181102365</v>
      </c>
      <c r="AE26" s="18">
        <f t="shared" si="5"/>
        <v>11850393.700787401</v>
      </c>
    </row>
    <row r="27" spans="1:31" ht="28.5" thickBot="1" x14ac:dyDescent="0.35">
      <c r="A27" s="7" t="s">
        <v>47</v>
      </c>
      <c r="B27" s="7">
        <v>2015</v>
      </c>
      <c r="C27" s="7">
        <v>10</v>
      </c>
      <c r="D27" s="8" t="s">
        <v>119</v>
      </c>
      <c r="E27" s="7" t="s">
        <v>107</v>
      </c>
      <c r="F27" s="7" t="s">
        <v>102</v>
      </c>
      <c r="G27" s="7">
        <v>180</v>
      </c>
      <c r="H27" s="16" t="s">
        <v>120</v>
      </c>
      <c r="I27" s="11" t="s">
        <v>120</v>
      </c>
      <c r="J27" s="7">
        <v>1</v>
      </c>
      <c r="K27" s="7" t="s">
        <v>5</v>
      </c>
      <c r="L27" s="7">
        <v>1.2</v>
      </c>
      <c r="M27" s="7">
        <v>150</v>
      </c>
      <c r="N27" s="7"/>
      <c r="O27" s="7">
        <v>72</v>
      </c>
      <c r="P27" s="7">
        <v>0.28299999999999997</v>
      </c>
      <c r="Q27" s="7">
        <v>62.4</v>
      </c>
      <c r="R27" s="7"/>
      <c r="S27" s="7"/>
      <c r="T27" s="7">
        <v>2.5600000000000001E-2</v>
      </c>
      <c r="U27" s="7">
        <v>21</v>
      </c>
      <c r="V27" s="7">
        <v>3.5999999999999999E-3</v>
      </c>
      <c r="W27" s="7">
        <v>0</v>
      </c>
      <c r="X27" s="7">
        <v>0</v>
      </c>
      <c r="Y27" s="22">
        <v>1.2999999999999999E-3</v>
      </c>
      <c r="Z27" s="9">
        <f>P27*M27*L27/V27</f>
        <v>14149.999999999998</v>
      </c>
      <c r="AA27" s="9">
        <f t="shared" si="1"/>
        <v>1280.0000000000002</v>
      </c>
      <c r="AB27" s="9">
        <f>P27*M27/V27</f>
        <v>11791.666666666666</v>
      </c>
      <c r="AC27" s="15">
        <f>T27*M27/V27</f>
        <v>1066.6666666666667</v>
      </c>
      <c r="AD27" s="18">
        <f t="shared" si="4"/>
        <v>9070512.82051282</v>
      </c>
      <c r="AE27" s="18">
        <f t="shared" si="5"/>
        <v>820512.82051282062</v>
      </c>
    </row>
    <row r="28" spans="1:31" ht="28.5" hidden="1" thickBot="1" x14ac:dyDescent="0.35">
      <c r="A28" s="23" t="s">
        <v>30</v>
      </c>
      <c r="B28" s="23">
        <v>2016</v>
      </c>
      <c r="C28" s="23">
        <v>9</v>
      </c>
      <c r="D28" s="24" t="s">
        <v>130</v>
      </c>
      <c r="E28" s="23" t="s">
        <v>131</v>
      </c>
      <c r="F28" s="23" t="s">
        <v>96</v>
      </c>
      <c r="G28" s="23">
        <v>350</v>
      </c>
      <c r="H28" s="23" t="s">
        <v>129</v>
      </c>
      <c r="I28" s="25" t="s">
        <v>157</v>
      </c>
      <c r="J28" s="23">
        <v>3</v>
      </c>
      <c r="K28" s="23" t="s">
        <v>5</v>
      </c>
      <c r="L28" s="23">
        <v>2</v>
      </c>
      <c r="M28" s="23">
        <v>15000</v>
      </c>
      <c r="N28" s="23"/>
      <c r="O28" s="23">
        <v>136</v>
      </c>
      <c r="P28" s="23">
        <v>2.38</v>
      </c>
      <c r="Q28" s="23">
        <v>47</v>
      </c>
      <c r="R28" s="23"/>
      <c r="S28" s="23"/>
      <c r="T28" s="23">
        <v>0.3</v>
      </c>
      <c r="U28" s="23">
        <v>0.93</v>
      </c>
      <c r="V28" s="23">
        <v>4.9799999999999997E-2</v>
      </c>
      <c r="W28" s="23">
        <v>1</v>
      </c>
      <c r="X28" s="23">
        <v>0</v>
      </c>
      <c r="Y28" s="26">
        <v>2.97E-3</v>
      </c>
      <c r="Z28" s="27">
        <f t="shared" si="0"/>
        <v>1433734.9397590363</v>
      </c>
      <c r="AA28" s="27">
        <f t="shared" si="1"/>
        <v>180722.89156626508</v>
      </c>
      <c r="AB28" s="27">
        <f t="shared" si="2"/>
        <v>716867.46987951815</v>
      </c>
      <c r="AC28" s="28">
        <f t="shared" si="3"/>
        <v>90361.445783132542</v>
      </c>
      <c r="AD28" s="29">
        <f t="shared" si="4"/>
        <v>241369518.47795224</v>
      </c>
      <c r="AE28" s="29">
        <f t="shared" si="5"/>
        <v>30424729.219909947</v>
      </c>
    </row>
    <row r="29" spans="1:31" s="46" customFormat="1" ht="28.5" thickBot="1" x14ac:dyDescent="0.35">
      <c r="A29" s="37" t="s">
        <v>47</v>
      </c>
      <c r="B29" s="38">
        <v>2017</v>
      </c>
      <c r="C29" s="38">
        <v>2</v>
      </c>
      <c r="D29" s="39" t="s">
        <v>122</v>
      </c>
      <c r="E29" s="38" t="s">
        <v>113</v>
      </c>
      <c r="F29" s="38" t="s">
        <v>114</v>
      </c>
      <c r="G29" s="38">
        <v>180</v>
      </c>
      <c r="H29" s="41" t="s">
        <v>103</v>
      </c>
      <c r="I29" s="40" t="s">
        <v>121</v>
      </c>
      <c r="J29" s="38">
        <v>3</v>
      </c>
      <c r="K29" s="38" t="s">
        <v>5</v>
      </c>
      <c r="L29" s="38">
        <v>1.2</v>
      </c>
      <c r="M29" s="38">
        <v>1500</v>
      </c>
      <c r="N29" s="38"/>
      <c r="O29" s="38" t="s">
        <v>38</v>
      </c>
      <c r="P29" s="38">
        <v>3.46</v>
      </c>
      <c r="Q29" s="38">
        <v>75.5</v>
      </c>
      <c r="R29" s="38"/>
      <c r="S29" s="38"/>
      <c r="T29" s="38">
        <v>1.46</v>
      </c>
      <c r="U29" s="38">
        <v>0.56999999999999995</v>
      </c>
      <c r="V29" s="38">
        <v>6.9599999999999995E-2</v>
      </c>
      <c r="W29" s="38">
        <v>1.6</v>
      </c>
      <c r="X29" s="38">
        <v>400</v>
      </c>
      <c r="Y29" s="42">
        <v>1.2999999999999999E-2</v>
      </c>
      <c r="Z29" s="43">
        <f t="shared" si="0"/>
        <v>89482.758620689667</v>
      </c>
      <c r="AA29" s="43">
        <f t="shared" si="1"/>
        <v>37758.620689655174</v>
      </c>
      <c r="AB29" s="43">
        <f t="shared" si="2"/>
        <v>74568.965517241391</v>
      </c>
      <c r="AC29" s="44">
        <f t="shared" si="3"/>
        <v>31465.517241379312</v>
      </c>
      <c r="AD29" s="45">
        <f t="shared" si="4"/>
        <v>5736074.2705570301</v>
      </c>
      <c r="AE29" s="45">
        <f t="shared" si="5"/>
        <v>2420424.4031830239</v>
      </c>
    </row>
    <row r="30" spans="1:31" x14ac:dyDescent="0.3">
      <c r="A30" s="30" t="s">
        <v>123</v>
      </c>
      <c r="B30" s="30">
        <v>2017</v>
      </c>
      <c r="C30" s="30">
        <v>8</v>
      </c>
      <c r="D30" s="31" t="s">
        <v>124</v>
      </c>
      <c r="E30" s="30" t="s">
        <v>125</v>
      </c>
      <c r="F30" s="30" t="s">
        <v>126</v>
      </c>
      <c r="G30" s="30">
        <v>65</v>
      </c>
      <c r="H30" s="30" t="s">
        <v>69</v>
      </c>
      <c r="I30" s="50" t="s">
        <v>127</v>
      </c>
      <c r="J30" s="30">
        <v>3</v>
      </c>
      <c r="K30" s="30" t="s">
        <v>5</v>
      </c>
      <c r="L30" s="30">
        <v>1.6</v>
      </c>
      <c r="M30" s="30">
        <v>3200</v>
      </c>
      <c r="N30" s="30"/>
      <c r="O30" s="30" t="s">
        <v>38</v>
      </c>
      <c r="P30" s="30">
        <v>0.52</v>
      </c>
      <c r="Q30" s="30">
        <v>58</v>
      </c>
      <c r="R30" s="30">
        <v>63</v>
      </c>
      <c r="S30" s="30">
        <v>72</v>
      </c>
      <c r="T30" s="30">
        <v>0.21</v>
      </c>
      <c r="U30" s="30">
        <v>6.9</v>
      </c>
      <c r="V30" s="30">
        <v>0.06</v>
      </c>
      <c r="W30" s="30">
        <v>7.3</v>
      </c>
      <c r="X30" s="30">
        <v>0</v>
      </c>
      <c r="Y30" s="33">
        <v>8.0000000000000002E-3</v>
      </c>
      <c r="Z30" s="34">
        <f t="shared" si="0"/>
        <v>44373.333333333336</v>
      </c>
      <c r="AA30" s="34">
        <f t="shared" si="1"/>
        <v>17920</v>
      </c>
      <c r="AB30" s="34">
        <f t="shared" si="2"/>
        <v>27733.333333333336</v>
      </c>
      <c r="AC30" s="35">
        <f t="shared" si="3"/>
        <v>11200</v>
      </c>
      <c r="AD30" s="36">
        <f t="shared" si="4"/>
        <v>3466666.666666667</v>
      </c>
      <c r="AE30" s="36">
        <f t="shared" si="5"/>
        <v>1400000</v>
      </c>
    </row>
    <row r="31" spans="1:31" ht="14" hidden="1" customHeight="1" x14ac:dyDescent="0.3">
      <c r="A31" s="7" t="s">
        <v>123</v>
      </c>
      <c r="B31" s="7">
        <v>2018</v>
      </c>
      <c r="C31" s="7">
        <v>11</v>
      </c>
      <c r="D31" s="8" t="s">
        <v>128</v>
      </c>
      <c r="E31" s="7" t="s">
        <v>95</v>
      </c>
      <c r="F31" s="7" t="s">
        <v>96</v>
      </c>
      <c r="G31" s="7">
        <v>350</v>
      </c>
      <c r="H31" s="7" t="s">
        <v>129</v>
      </c>
      <c r="I31" s="13"/>
      <c r="J31" s="7">
        <v>3</v>
      </c>
      <c r="K31" s="7" t="s">
        <v>5</v>
      </c>
      <c r="L31" s="7">
        <v>1.4</v>
      </c>
      <c r="M31" s="7">
        <v>100000</v>
      </c>
      <c r="N31" s="7"/>
      <c r="O31" s="7">
        <v>113</v>
      </c>
      <c r="P31" s="7">
        <v>0.43</v>
      </c>
      <c r="Q31" s="7">
        <v>59</v>
      </c>
      <c r="R31" s="7"/>
      <c r="S31" s="7"/>
      <c r="T31" s="7">
        <v>4.4999999999999998E-2</v>
      </c>
      <c r="U31" s="7">
        <v>7.7</v>
      </c>
      <c r="V31" s="7">
        <v>8.9040000000000005E-3</v>
      </c>
      <c r="W31" s="7">
        <v>0.5</v>
      </c>
      <c r="X31" s="7">
        <v>0</v>
      </c>
      <c r="Y31" s="22">
        <v>2.5000000000000001E-3</v>
      </c>
      <c r="Z31" s="9">
        <f t="shared" si="0"/>
        <v>6761006.2893081745</v>
      </c>
      <c r="AA31" s="9">
        <f t="shared" si="1"/>
        <v>707547.16981132072</v>
      </c>
      <c r="AB31" s="9">
        <f t="shared" si="2"/>
        <v>4829290.2066486971</v>
      </c>
      <c r="AC31" s="15">
        <f t="shared" si="3"/>
        <v>505390.83557951479</v>
      </c>
      <c r="AD31" s="18">
        <f t="shared" si="4"/>
        <v>1931716082.6594789</v>
      </c>
      <c r="AE31" s="18">
        <f t="shared" si="5"/>
        <v>202156334.23180592</v>
      </c>
    </row>
    <row r="32" spans="1:31" ht="14" customHeight="1" x14ac:dyDescent="0.3">
      <c r="A32" s="7" t="s">
        <v>30</v>
      </c>
      <c r="B32" s="7">
        <v>2020</v>
      </c>
      <c r="C32" s="7">
        <v>7</v>
      </c>
      <c r="D32" s="8" t="s">
        <v>132</v>
      </c>
      <c r="E32" s="7" t="s">
        <v>133</v>
      </c>
      <c r="F32" s="7" t="s">
        <v>89</v>
      </c>
      <c r="G32" s="7">
        <v>130</v>
      </c>
      <c r="H32" s="7"/>
      <c r="I32" s="13" t="s">
        <v>134</v>
      </c>
      <c r="J32" s="7">
        <v>3</v>
      </c>
      <c r="K32" s="7" t="s">
        <v>5</v>
      </c>
      <c r="L32" s="7">
        <v>1</v>
      </c>
      <c r="M32" s="7">
        <v>50000</v>
      </c>
      <c r="N32" s="7"/>
      <c r="O32" s="7">
        <v>71.25</v>
      </c>
      <c r="P32" s="7">
        <v>0.46</v>
      </c>
      <c r="Q32" s="7">
        <v>90.64</v>
      </c>
      <c r="R32" s="7"/>
      <c r="S32" s="7"/>
      <c r="T32" s="7">
        <v>0.04</v>
      </c>
      <c r="U32" s="7">
        <v>4.62</v>
      </c>
      <c r="V32" s="7">
        <v>0.185</v>
      </c>
      <c r="W32" s="7">
        <v>0</v>
      </c>
      <c r="X32" s="7">
        <v>0</v>
      </c>
      <c r="Y32" s="22">
        <v>6.0000000000000001E-3</v>
      </c>
      <c r="Z32" s="9">
        <f t="shared" si="0"/>
        <v>124324.32432432432</v>
      </c>
      <c r="AA32" s="9">
        <f t="shared" si="1"/>
        <v>10810.810810810812</v>
      </c>
      <c r="AB32" s="9">
        <f t="shared" si="2"/>
        <v>124324.32432432432</v>
      </c>
      <c r="AC32" s="15">
        <f t="shared" si="3"/>
        <v>10810.810810810812</v>
      </c>
      <c r="AD32" s="18">
        <f t="shared" si="4"/>
        <v>20720720.72072072</v>
      </c>
      <c r="AE32" s="18">
        <f t="shared" si="5"/>
        <v>1801801.8018018019</v>
      </c>
    </row>
    <row r="33" spans="1:31" ht="14" customHeight="1" x14ac:dyDescent="0.3">
      <c r="A33" s="7" t="s">
        <v>148</v>
      </c>
      <c r="B33" s="7">
        <v>2022</v>
      </c>
      <c r="C33" s="7">
        <v>9</v>
      </c>
      <c r="D33" s="8" t="s">
        <v>149</v>
      </c>
      <c r="E33" s="7" t="s">
        <v>145</v>
      </c>
      <c r="F33" s="7" t="s">
        <v>146</v>
      </c>
      <c r="G33" s="7">
        <v>65</v>
      </c>
      <c r="H33" s="7"/>
      <c r="I33" s="13"/>
      <c r="J33" s="7">
        <v>3</v>
      </c>
      <c r="K33" s="7" t="s">
        <v>5</v>
      </c>
      <c r="L33" s="7">
        <v>1.2</v>
      </c>
      <c r="M33" s="7">
        <v>100000</v>
      </c>
      <c r="N33" s="7"/>
      <c r="O33" s="7">
        <v>100</v>
      </c>
      <c r="P33" s="7">
        <v>2.1999999999999999E-2</v>
      </c>
      <c r="Q33" s="7">
        <v>40</v>
      </c>
      <c r="R33" s="7"/>
      <c r="S33" s="7">
        <v>142</v>
      </c>
      <c r="T33" s="7">
        <v>4.4000000000000003E-3</v>
      </c>
      <c r="U33" s="7">
        <v>16.8</v>
      </c>
      <c r="V33" s="7">
        <v>1.4999999999999999E-2</v>
      </c>
      <c r="W33" s="7">
        <v>1</v>
      </c>
      <c r="X33" s="7" t="s">
        <v>150</v>
      </c>
      <c r="Y33" s="22">
        <v>2.8E-3</v>
      </c>
      <c r="Z33" s="9">
        <f t="shared" si="0"/>
        <v>176000</v>
      </c>
      <c r="AA33" s="9">
        <f t="shared" si="1"/>
        <v>35200</v>
      </c>
      <c r="AB33" s="9">
        <f t="shared" si="2"/>
        <v>146666.66666666669</v>
      </c>
      <c r="AC33" s="15">
        <f t="shared" si="3"/>
        <v>29333.333333333336</v>
      </c>
      <c r="AD33" s="18">
        <f t="shared" si="4"/>
        <v>52380952.380952388</v>
      </c>
      <c r="AE33" s="18">
        <f t="shared" si="5"/>
        <v>10476190.476190478</v>
      </c>
    </row>
    <row r="34" spans="1:31" ht="14" customHeight="1" x14ac:dyDescent="0.3">
      <c r="A34" s="7" t="s">
        <v>140</v>
      </c>
      <c r="B34" s="7">
        <v>2023</v>
      </c>
      <c r="C34" s="7">
        <v>12</v>
      </c>
      <c r="D34" s="8" t="s">
        <v>139</v>
      </c>
      <c r="E34" s="7" t="s">
        <v>141</v>
      </c>
      <c r="F34" s="7" t="s">
        <v>142</v>
      </c>
      <c r="G34" s="7">
        <v>55</v>
      </c>
      <c r="H34" s="7"/>
      <c r="I34" s="13" t="s">
        <v>143</v>
      </c>
      <c r="J34" s="7">
        <v>3</v>
      </c>
      <c r="K34" s="7" t="s">
        <v>5</v>
      </c>
      <c r="L34" s="7">
        <v>1.2</v>
      </c>
      <c r="M34" s="7">
        <v>30000</v>
      </c>
      <c r="N34" s="7"/>
      <c r="O34" s="7" t="s">
        <v>38</v>
      </c>
      <c r="P34" s="7">
        <v>0.54</v>
      </c>
      <c r="Q34" s="7">
        <v>46</v>
      </c>
      <c r="R34" s="7"/>
      <c r="S34" s="7"/>
      <c r="T34" s="7">
        <v>0.08</v>
      </c>
      <c r="U34" s="7">
        <v>4.91</v>
      </c>
      <c r="V34" s="7">
        <f>0.157*1.2</f>
        <v>0.18839999999999998</v>
      </c>
      <c r="W34" s="7">
        <v>2.16</v>
      </c>
      <c r="X34" s="7">
        <v>0</v>
      </c>
      <c r="Y34" s="22">
        <v>5.0000000000000001E-3</v>
      </c>
      <c r="Z34" s="9">
        <f t="shared" si="0"/>
        <v>103184.71337579619</v>
      </c>
      <c r="AA34" s="9">
        <f t="shared" si="1"/>
        <v>15286.624203821657</v>
      </c>
      <c r="AB34" s="9">
        <f t="shared" si="2"/>
        <v>85987.261146496836</v>
      </c>
      <c r="AC34" s="15">
        <f t="shared" si="3"/>
        <v>12738.853503184715</v>
      </c>
      <c r="AD34" s="18">
        <f t="shared" si="4"/>
        <v>17197452.229299366</v>
      </c>
      <c r="AE34" s="18">
        <f t="shared" si="5"/>
        <v>2547770.7006369429</v>
      </c>
    </row>
    <row r="35" spans="1:31" ht="14" customHeight="1" x14ac:dyDescent="0.3">
      <c r="A35" s="7" t="s">
        <v>140</v>
      </c>
      <c r="B35" s="7">
        <v>2023</v>
      </c>
      <c r="C35" s="7">
        <v>11</v>
      </c>
      <c r="D35" s="8" t="s">
        <v>144</v>
      </c>
      <c r="E35" s="7" t="s">
        <v>145</v>
      </c>
      <c r="F35" s="7" t="s">
        <v>151</v>
      </c>
      <c r="G35" s="7">
        <v>65</v>
      </c>
      <c r="H35" s="7"/>
      <c r="I35" s="13" t="s">
        <v>147</v>
      </c>
      <c r="J35" s="7">
        <v>4</v>
      </c>
      <c r="K35" s="7" t="s">
        <v>5</v>
      </c>
      <c r="L35" s="7">
        <v>1.2</v>
      </c>
      <c r="M35" s="7">
        <v>100000</v>
      </c>
      <c r="N35" s="7"/>
      <c r="O35" s="7">
        <v>132</v>
      </c>
      <c r="P35" s="7">
        <v>0.27</v>
      </c>
      <c r="Q35" s="7">
        <v>87</v>
      </c>
      <c r="R35" s="7"/>
      <c r="S35" s="7"/>
      <c r="T35" s="7">
        <v>0.03</v>
      </c>
      <c r="U35" s="7">
        <v>16</v>
      </c>
      <c r="V35" s="7">
        <f>0.138*1.2</f>
        <v>0.1656</v>
      </c>
      <c r="W35" s="7">
        <v>3</v>
      </c>
      <c r="X35" s="7">
        <v>0</v>
      </c>
      <c r="Y35" s="22">
        <v>8.6E-3</v>
      </c>
      <c r="Z35" s="9">
        <f t="shared" si="0"/>
        <v>195652.17391304349</v>
      </c>
      <c r="AA35" s="9">
        <f t="shared" si="1"/>
        <v>21739.130434782608</v>
      </c>
      <c r="AB35" s="9">
        <f t="shared" si="2"/>
        <v>163043.47826086957</v>
      </c>
      <c r="AC35" s="15">
        <f t="shared" si="3"/>
        <v>18115.942028985508</v>
      </c>
      <c r="AD35" s="18">
        <f t="shared" si="4"/>
        <v>18958543.983822044</v>
      </c>
      <c r="AE35" s="18">
        <f t="shared" si="5"/>
        <v>2106504.8870913382</v>
      </c>
    </row>
    <row r="36" spans="1:31" ht="14" customHeight="1" x14ac:dyDescent="0.3">
      <c r="A36" s="7" t="s">
        <v>123</v>
      </c>
      <c r="B36" s="7">
        <v>2024</v>
      </c>
      <c r="C36" s="7">
        <v>1</v>
      </c>
      <c r="D36" s="8" t="s">
        <v>135</v>
      </c>
      <c r="E36" s="7" t="s">
        <v>136</v>
      </c>
      <c r="F36" s="7" t="s">
        <v>137</v>
      </c>
      <c r="G36" s="7">
        <v>180</v>
      </c>
      <c r="H36" s="7"/>
      <c r="I36" s="13" t="s">
        <v>138</v>
      </c>
      <c r="J36" s="7">
        <v>2</v>
      </c>
      <c r="K36" s="7" t="s">
        <v>64</v>
      </c>
      <c r="L36" s="7">
        <v>1.8</v>
      </c>
      <c r="M36" s="7">
        <v>45</v>
      </c>
      <c r="N36" s="7"/>
      <c r="O36" s="7" t="s">
        <v>38</v>
      </c>
      <c r="P36" s="7">
        <v>3</v>
      </c>
      <c r="Q36" s="7">
        <v>60</v>
      </c>
      <c r="R36" s="7">
        <v>75</v>
      </c>
      <c r="S36" s="7"/>
      <c r="T36" s="7">
        <v>2.2999999999999998</v>
      </c>
      <c r="U36" s="7"/>
      <c r="V36" s="7">
        <f>1.8*0.0018</f>
        <v>3.2399999999999998E-3</v>
      </c>
      <c r="W36" s="7"/>
      <c r="X36" s="7"/>
      <c r="Y36" s="22">
        <v>4.5999999999999999E-2</v>
      </c>
      <c r="Z36" s="9">
        <f t="shared" si="0"/>
        <v>75000</v>
      </c>
      <c r="AA36" s="9">
        <f t="shared" si="1"/>
        <v>57500</v>
      </c>
      <c r="AB36" s="9">
        <f t="shared" si="2"/>
        <v>41666.666666666672</v>
      </c>
      <c r="AC36" s="15">
        <f t="shared" si="3"/>
        <v>31944.444444444442</v>
      </c>
      <c r="AD36" s="18">
        <f t="shared" si="4"/>
        <v>905797.10144927551</v>
      </c>
      <c r="AE36" s="18">
        <f t="shared" si="5"/>
        <v>694444.44444444438</v>
      </c>
    </row>
    <row r="37" spans="1:31" x14ac:dyDescent="0.3">
      <c r="D37"/>
      <c r="Y37"/>
      <c r="AD37"/>
      <c r="AE37"/>
    </row>
    <row r="38" spans="1:31" x14ac:dyDescent="0.3">
      <c r="D38"/>
      <c r="Y38"/>
      <c r="AD38"/>
      <c r="AE38"/>
    </row>
    <row r="39" spans="1:31" x14ac:dyDescent="0.3">
      <c r="D39"/>
      <c r="Y39"/>
      <c r="AD39"/>
      <c r="AE39"/>
    </row>
    <row r="40" spans="1:31" x14ac:dyDescent="0.3">
      <c r="D40"/>
      <c r="Y40"/>
      <c r="AD40"/>
      <c r="AE40"/>
    </row>
    <row r="41" spans="1:31" x14ac:dyDescent="0.3">
      <c r="D41"/>
      <c r="Y41"/>
      <c r="AD41"/>
      <c r="AE41"/>
    </row>
    <row r="42" spans="1:31" x14ac:dyDescent="0.3">
      <c r="D42"/>
      <c r="Y42"/>
      <c r="AD42"/>
      <c r="AE42"/>
    </row>
    <row r="43" spans="1:31" x14ac:dyDescent="0.3">
      <c r="D43"/>
      <c r="Y43"/>
      <c r="AD43"/>
      <c r="AE43"/>
    </row>
    <row r="44" spans="1:31" x14ac:dyDescent="0.3">
      <c r="D44"/>
      <c r="Y44"/>
      <c r="AD44"/>
      <c r="AE44"/>
    </row>
    <row r="45" spans="1:31" x14ac:dyDescent="0.3">
      <c r="D45"/>
      <c r="Y45"/>
      <c r="AD45"/>
      <c r="AE45"/>
    </row>
    <row r="46" spans="1:31" x14ac:dyDescent="0.3">
      <c r="D46"/>
      <c r="Y46"/>
      <c r="AD46"/>
      <c r="AE46"/>
    </row>
    <row r="47" spans="1:31" x14ac:dyDescent="0.3">
      <c r="D47"/>
      <c r="Y47"/>
      <c r="AD47"/>
      <c r="AE47"/>
    </row>
    <row r="48" spans="1:31" x14ac:dyDescent="0.3">
      <c r="D48"/>
      <c r="Y48"/>
      <c r="AD48"/>
      <c r="AE48"/>
    </row>
    <row r="49" spans="4:31" x14ac:dyDescent="0.3">
      <c r="D49"/>
      <c r="Y49"/>
      <c r="AD49"/>
      <c r="AE49"/>
    </row>
    <row r="50" spans="4:31" x14ac:dyDescent="0.3">
      <c r="D50"/>
      <c r="Y50"/>
      <c r="AD50"/>
      <c r="AE50"/>
    </row>
    <row r="51" spans="4:31" x14ac:dyDescent="0.3">
      <c r="D51"/>
      <c r="Y51"/>
      <c r="AD51"/>
      <c r="AE51"/>
    </row>
    <row r="52" spans="4:31" x14ac:dyDescent="0.3">
      <c r="D52"/>
      <c r="Y52"/>
      <c r="AD52"/>
      <c r="AE52"/>
    </row>
    <row r="53" spans="4:31" x14ac:dyDescent="0.3">
      <c r="Z53" s="2"/>
      <c r="AA53" s="2"/>
      <c r="AB53" s="2"/>
      <c r="AC53" s="2"/>
    </row>
    <row r="54" spans="4:31" x14ac:dyDescent="0.3">
      <c r="Z54" s="2"/>
      <c r="AA54" s="2"/>
      <c r="AB54" s="2"/>
      <c r="AC54" s="2"/>
    </row>
    <row r="55" spans="4:31" x14ac:dyDescent="0.3">
      <c r="Z55" s="2"/>
      <c r="AA55" s="2"/>
      <c r="AB55" s="2"/>
      <c r="AC55" s="2"/>
    </row>
    <row r="56" spans="4:31" x14ac:dyDescent="0.3">
      <c r="Z56" s="2"/>
      <c r="AA56" s="2"/>
      <c r="AB56" s="2"/>
      <c r="AC56" s="2"/>
    </row>
    <row r="57" spans="4:31" x14ac:dyDescent="0.3">
      <c r="Z57" s="2"/>
      <c r="AA57" s="2"/>
      <c r="AB57" s="2"/>
      <c r="AC57" s="2"/>
    </row>
    <row r="58" spans="4:31" x14ac:dyDescent="0.3">
      <c r="Z58" s="2"/>
      <c r="AA58" s="2"/>
      <c r="AB58" s="2"/>
      <c r="AC58" s="2"/>
    </row>
    <row r="59" spans="4:31" x14ac:dyDescent="0.3">
      <c r="Z59" s="2"/>
      <c r="AA59" s="2"/>
      <c r="AB59" s="2"/>
      <c r="AC59" s="2"/>
    </row>
    <row r="60" spans="4:31" x14ac:dyDescent="0.3">
      <c r="Z60" s="2"/>
      <c r="AA60" s="2"/>
      <c r="AB60" s="2"/>
      <c r="AC60" s="2"/>
    </row>
    <row r="61" spans="4:31" x14ac:dyDescent="0.3">
      <c r="Z61" s="2"/>
      <c r="AA61" s="2"/>
      <c r="AB61" s="2"/>
      <c r="AC61" s="2"/>
    </row>
    <row r="62" spans="4:31" x14ac:dyDescent="0.3">
      <c r="Z62" s="2"/>
      <c r="AA62" s="2"/>
      <c r="AB62" s="2"/>
      <c r="AC62" s="2"/>
    </row>
    <row r="63" spans="4:31" x14ac:dyDescent="0.3">
      <c r="Z63" s="2"/>
      <c r="AA63" s="2"/>
      <c r="AB63" s="2"/>
      <c r="AC63" s="2"/>
    </row>
    <row r="64" spans="4:31" x14ac:dyDescent="0.3">
      <c r="Z64" s="2"/>
      <c r="AA64" s="2"/>
      <c r="AB64" s="2"/>
      <c r="AC64" s="2"/>
    </row>
    <row r="65" spans="26:29" x14ac:dyDescent="0.3">
      <c r="Z65" s="2"/>
      <c r="AA65" s="2"/>
      <c r="AB65" s="2"/>
      <c r="AC65" s="2"/>
    </row>
    <row r="66" spans="26:29" x14ac:dyDescent="0.3">
      <c r="Z66" s="2"/>
      <c r="AA66" s="2"/>
      <c r="AB66" s="2"/>
      <c r="AC66" s="2"/>
    </row>
    <row r="67" spans="26:29" x14ac:dyDescent="0.3">
      <c r="Z67" s="2"/>
      <c r="AA67" s="2"/>
      <c r="AB67" s="2"/>
      <c r="AC67" s="2"/>
    </row>
    <row r="68" spans="26:29" x14ac:dyDescent="0.3">
      <c r="Z68" s="2"/>
      <c r="AA68" s="2"/>
      <c r="AB68" s="2"/>
      <c r="AC68" s="2"/>
    </row>
    <row r="69" spans="26:29" x14ac:dyDescent="0.3">
      <c r="Z69" s="2"/>
      <c r="AA69" s="2"/>
      <c r="AB69" s="2"/>
      <c r="AC69" s="2"/>
    </row>
    <row r="70" spans="26:29" x14ac:dyDescent="0.3">
      <c r="Z70" s="2"/>
      <c r="AA70" s="2"/>
      <c r="AB70" s="2"/>
      <c r="AC70" s="2"/>
    </row>
    <row r="71" spans="26:29" x14ac:dyDescent="0.3">
      <c r="Z71" s="2"/>
      <c r="AA71" s="2"/>
      <c r="AB71" s="2"/>
      <c r="AC71" s="2"/>
    </row>
    <row r="72" spans="26:29" x14ac:dyDescent="0.3">
      <c r="Z72" s="2"/>
      <c r="AA72" s="2"/>
      <c r="AB72" s="2"/>
      <c r="AC72" s="2"/>
    </row>
    <row r="73" spans="26:29" x14ac:dyDescent="0.3">
      <c r="Z73" s="2"/>
      <c r="AA73" s="2"/>
      <c r="AB73" s="2"/>
      <c r="AC73" s="2"/>
    </row>
  </sheetData>
  <sortState xmlns:xlrd2="http://schemas.microsoft.com/office/spreadsheetml/2017/richdata2" ref="A3:AC36">
    <sortCondition ref="B3:B36"/>
  </sortState>
  <mergeCells count="3">
    <mergeCell ref="L1:Y1"/>
    <mergeCell ref="A1:K1"/>
    <mergeCell ref="Z1:AC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046A-F6F8-44DA-8346-589B58F56338}">
  <dimension ref="C3:AB67"/>
  <sheetViews>
    <sheetView topLeftCell="B1" zoomScale="70" zoomScaleNormal="70" workbookViewId="0">
      <selection activeCell="AF97" sqref="AF97"/>
    </sheetView>
  </sheetViews>
  <sheetFormatPr defaultColWidth="8.83203125" defaultRowHeight="14" x14ac:dyDescent="0.3"/>
  <sheetData>
    <row r="3" spans="3:28" x14ac:dyDescent="0.3"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</row>
    <row r="4" spans="3:28" x14ac:dyDescent="0.3"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</row>
    <row r="5" spans="3:28" x14ac:dyDescent="0.3"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</row>
    <row r="6" spans="3:28" x14ac:dyDescent="0.3"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</row>
    <row r="7" spans="3:28" x14ac:dyDescent="0.3"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</row>
    <row r="8" spans="3:28" x14ac:dyDescent="0.3"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</row>
    <row r="9" spans="3:28" x14ac:dyDescent="0.3"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</row>
    <row r="10" spans="3:28" x14ac:dyDescent="0.3"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</row>
    <row r="11" spans="3:28" x14ac:dyDescent="0.3"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</row>
    <row r="12" spans="3:28" x14ac:dyDescent="0.3"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</row>
    <row r="13" spans="3:28" x14ac:dyDescent="0.3"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</row>
    <row r="14" spans="3:28" x14ac:dyDescent="0.3"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</row>
    <row r="15" spans="3:28" x14ac:dyDescent="0.3"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</row>
    <row r="16" spans="3:28" x14ac:dyDescent="0.3"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</row>
    <row r="17" spans="3:28" x14ac:dyDescent="0.3"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</row>
    <row r="18" spans="3:28" x14ac:dyDescent="0.3"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</row>
    <row r="19" spans="3:28" x14ac:dyDescent="0.3"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</row>
    <row r="20" spans="3:28" x14ac:dyDescent="0.3"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</row>
    <row r="21" spans="3:28" x14ac:dyDescent="0.3"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</row>
    <row r="22" spans="3:28" x14ac:dyDescent="0.3"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</row>
    <row r="23" spans="3:28" x14ac:dyDescent="0.3"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</row>
    <row r="24" spans="3:28" x14ac:dyDescent="0.3"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</row>
    <row r="25" spans="3:28" x14ac:dyDescent="0.3"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</row>
    <row r="26" spans="3:28" x14ac:dyDescent="0.3"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</row>
    <row r="27" spans="3:28" x14ac:dyDescent="0.3"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</row>
    <row r="28" spans="3:28" x14ac:dyDescent="0.3"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</row>
    <row r="29" spans="3:28" x14ac:dyDescent="0.3"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</row>
    <row r="30" spans="3:28" x14ac:dyDescent="0.3"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</row>
    <row r="31" spans="3:28" x14ac:dyDescent="0.3"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</row>
    <row r="32" spans="3:28" x14ac:dyDescent="0.3"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</row>
    <row r="33" spans="3:28" x14ac:dyDescent="0.3"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</row>
    <row r="34" spans="3:28" x14ac:dyDescent="0.3"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</row>
    <row r="35" spans="3:28" x14ac:dyDescent="0.3"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</row>
    <row r="36" spans="3:28" x14ac:dyDescent="0.3"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</row>
    <row r="37" spans="3:28" x14ac:dyDescent="0.3"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</row>
    <row r="38" spans="3:28" x14ac:dyDescent="0.3"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</row>
    <row r="39" spans="3:28" x14ac:dyDescent="0.3"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</row>
    <row r="40" spans="3:28" x14ac:dyDescent="0.3"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</row>
    <row r="41" spans="3:28" x14ac:dyDescent="0.3"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</row>
    <row r="42" spans="3:28" x14ac:dyDescent="0.3"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</row>
    <row r="43" spans="3:28" x14ac:dyDescent="0.3"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</row>
    <row r="44" spans="3:28" x14ac:dyDescent="0.3"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</row>
    <row r="45" spans="3:28" x14ac:dyDescent="0.3"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</row>
    <row r="46" spans="3:28" x14ac:dyDescent="0.3"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</row>
    <row r="47" spans="3:28" x14ac:dyDescent="0.3"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</row>
    <row r="48" spans="3:28" x14ac:dyDescent="0.3"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</row>
    <row r="49" spans="3:28" x14ac:dyDescent="0.3"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</row>
    <row r="50" spans="3:28" x14ac:dyDescent="0.3"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</row>
    <row r="51" spans="3:28" x14ac:dyDescent="0.3"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</row>
    <row r="52" spans="3:28" x14ac:dyDescent="0.3"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</row>
    <row r="53" spans="3:28" x14ac:dyDescent="0.3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</row>
    <row r="54" spans="3:28" x14ac:dyDescent="0.3"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</row>
    <row r="55" spans="3:28" x14ac:dyDescent="0.3"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</row>
    <row r="56" spans="3:28" x14ac:dyDescent="0.3"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</row>
    <row r="57" spans="3:28" x14ac:dyDescent="0.3"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</row>
    <row r="58" spans="3:28" x14ac:dyDescent="0.3"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</row>
    <row r="59" spans="3:28" x14ac:dyDescent="0.3"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</row>
    <row r="60" spans="3:28" x14ac:dyDescent="0.3"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</row>
    <row r="61" spans="3:28" x14ac:dyDescent="0.3"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</row>
    <row r="62" spans="3:28" x14ac:dyDescent="0.3"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</row>
    <row r="63" spans="3:28" x14ac:dyDescent="0.3"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</row>
    <row r="64" spans="3:28" x14ac:dyDescent="0.3"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</row>
    <row r="65" spans="3:28" x14ac:dyDescent="0.3"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</row>
    <row r="66" spans="3:28" x14ac:dyDescent="0.3"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</row>
    <row r="67" spans="3:28" x14ac:dyDescent="0.3"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</row>
  </sheetData>
  <mergeCells count="1">
    <mergeCell ref="C3:AB67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Overview</vt:lpstr>
      <vt:lpstr>Benchmark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浩昌 211665植</cp:lastModifiedBy>
  <dcterms:created xsi:type="dcterms:W3CDTF">2015-06-05T18:19:34Z</dcterms:created>
  <dcterms:modified xsi:type="dcterms:W3CDTF">2025-11-21T08:06:17Z</dcterms:modified>
</cp:coreProperties>
</file>